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28c329cf2f6e6d0/Documentos/1 - ACADEMICO/20 - ARTIGOS/1 - ARTIGOS PENDENTES/2 - MEUS ARTIGOS/5 - ARTIGO FUZZY/2 - DADOS/"/>
    </mc:Choice>
  </mc:AlternateContent>
  <xr:revisionPtr revIDLastSave="441" documentId="11_452BE1215656A12AD83CBF4E315EE56101A1B969" xr6:coauthVersionLast="47" xr6:coauthVersionMax="47" xr10:uidLastSave="{BA5EF145-7081-4048-8BD2-5C21F46D69F2}"/>
  <bookViews>
    <workbookView xWindow="-120" yWindow="-120" windowWidth="38640" windowHeight="15720" tabRatio="731" activeTab="1" xr2:uid="{00000000-000D-0000-FFFF-FFFF00000000}"/>
  </bookViews>
  <sheets>
    <sheet name="dados_1020" sheetId="1" r:id="rId1"/>
    <sheet name="dados_010" sheetId="3" r:id="rId2"/>
    <sheet name="Planilha2" sheetId="5" r:id="rId3"/>
    <sheet name="Planilha1" sheetId="4" r:id="rId4"/>
    <sheet name="completo" sheetId="2" r:id="rId5"/>
  </sheets>
  <definedNames>
    <definedName name="_xlnm._FilterDatabase" localSheetId="1" hidden="1">dados_010!$A$1:$Q$109</definedName>
    <definedName name="_xlnm._FilterDatabase" localSheetId="3" hidden="1">Planilha1!$A$1:$C$289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7" i="3" l="1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Z41" i="5"/>
  <c r="Z40" i="5"/>
  <c r="Z39" i="5"/>
  <c r="Z38" i="5"/>
  <c r="Z37" i="5"/>
  <c r="Z36" i="5"/>
  <c r="Z35" i="5"/>
  <c r="Z34" i="5"/>
  <c r="Z33" i="5"/>
  <c r="Z32" i="5"/>
  <c r="Z31" i="5"/>
  <c r="Z30" i="5"/>
  <c r="Z29" i="5"/>
  <c r="Z28" i="5"/>
  <c r="Z27" i="5"/>
  <c r="Z26" i="5"/>
  <c r="Z25" i="5"/>
  <c r="Z24" i="5"/>
  <c r="Z23" i="5"/>
  <c r="Z22" i="5"/>
  <c r="Z21" i="5"/>
  <c r="Z20" i="5"/>
  <c r="Z19" i="5"/>
  <c r="Z18" i="5"/>
  <c r="Z17" i="5"/>
  <c r="Z16" i="5"/>
  <c r="Z15" i="5"/>
  <c r="Z14" i="5"/>
  <c r="Z13" i="5"/>
  <c r="Z12" i="5"/>
  <c r="Z11" i="5"/>
  <c r="Z10" i="5"/>
  <c r="Z9" i="5"/>
  <c r="Z8" i="5"/>
  <c r="Z7" i="5"/>
  <c r="Z6" i="5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K118" i="2"/>
  <c r="I118" i="2"/>
  <c r="K117" i="2"/>
  <c r="I117" i="2"/>
  <c r="K116" i="2"/>
  <c r="I116" i="2"/>
  <c r="K115" i="2"/>
  <c r="I115" i="2"/>
  <c r="K114" i="2"/>
  <c r="I114" i="2"/>
  <c r="K113" i="2"/>
  <c r="I113" i="2"/>
  <c r="K112" i="2"/>
  <c r="I112" i="2"/>
  <c r="K111" i="2"/>
  <c r="I111" i="2"/>
  <c r="K110" i="2"/>
  <c r="I110" i="2"/>
  <c r="K109" i="2"/>
  <c r="I109" i="2"/>
  <c r="K108" i="2"/>
  <c r="I108" i="2"/>
  <c r="K107" i="2"/>
  <c r="I107" i="2"/>
  <c r="K106" i="2"/>
  <c r="I106" i="2"/>
  <c r="K105" i="2"/>
  <c r="I105" i="2"/>
  <c r="K104" i="2"/>
  <c r="I104" i="2"/>
  <c r="K103" i="2"/>
  <c r="I103" i="2"/>
  <c r="K102" i="2"/>
  <c r="I102" i="2"/>
  <c r="K101" i="2"/>
  <c r="I101" i="2"/>
  <c r="K100" i="2"/>
  <c r="I100" i="2"/>
  <c r="K99" i="2"/>
  <c r="I99" i="2"/>
  <c r="K98" i="2"/>
  <c r="I98" i="2"/>
  <c r="K97" i="2"/>
  <c r="I97" i="2"/>
  <c r="K96" i="2"/>
  <c r="I96" i="2"/>
  <c r="K95" i="2"/>
  <c r="I95" i="2"/>
  <c r="K94" i="2"/>
  <c r="I94" i="2"/>
  <c r="K93" i="2"/>
  <c r="I93" i="2"/>
  <c r="K92" i="2"/>
  <c r="I92" i="2"/>
  <c r="K91" i="2"/>
  <c r="I91" i="2"/>
  <c r="K90" i="2"/>
  <c r="I90" i="2"/>
  <c r="K89" i="2"/>
  <c r="I89" i="2"/>
  <c r="K88" i="2"/>
  <c r="I88" i="2"/>
  <c r="K87" i="2"/>
  <c r="I87" i="2"/>
  <c r="K86" i="2"/>
  <c r="I86" i="2"/>
  <c r="K85" i="2"/>
  <c r="I85" i="2"/>
  <c r="K84" i="2"/>
  <c r="I84" i="2"/>
  <c r="K83" i="2"/>
  <c r="I83" i="2"/>
  <c r="K82" i="2"/>
  <c r="I82" i="2"/>
  <c r="K81" i="2"/>
  <c r="I81" i="2"/>
  <c r="K80" i="2"/>
  <c r="I80" i="2"/>
  <c r="K79" i="2"/>
  <c r="I79" i="2"/>
  <c r="K78" i="2"/>
  <c r="I78" i="2"/>
  <c r="K77" i="2"/>
  <c r="I77" i="2"/>
  <c r="K76" i="2"/>
  <c r="I76" i="2"/>
  <c r="K75" i="2"/>
  <c r="I75" i="2"/>
  <c r="K74" i="2"/>
  <c r="I74" i="2"/>
  <c r="K73" i="2"/>
  <c r="I73" i="2"/>
  <c r="K72" i="2"/>
  <c r="I72" i="2"/>
  <c r="K71" i="2"/>
  <c r="I71" i="2"/>
  <c r="K70" i="2"/>
  <c r="I70" i="2"/>
  <c r="K69" i="2"/>
  <c r="I69" i="2"/>
  <c r="K68" i="2"/>
  <c r="I68" i="2"/>
  <c r="K67" i="2"/>
  <c r="I67" i="2"/>
  <c r="K66" i="2"/>
  <c r="I66" i="2"/>
  <c r="K65" i="2"/>
  <c r="I65" i="2"/>
  <c r="K64" i="2"/>
  <c r="I64" i="2"/>
  <c r="K63" i="2"/>
  <c r="I63" i="2"/>
  <c r="K62" i="2"/>
  <c r="I62" i="2"/>
  <c r="K61" i="2"/>
  <c r="I61" i="2"/>
  <c r="K60" i="2"/>
  <c r="I60" i="2"/>
  <c r="K59" i="2"/>
  <c r="I59" i="2"/>
  <c r="K58" i="2"/>
  <c r="I58" i="2"/>
  <c r="K57" i="2"/>
  <c r="I57" i="2"/>
  <c r="K56" i="2"/>
  <c r="I56" i="2"/>
  <c r="K55" i="2"/>
  <c r="I55" i="2"/>
  <c r="K54" i="2"/>
  <c r="I54" i="2"/>
  <c r="K53" i="2"/>
  <c r="I53" i="2"/>
  <c r="K52" i="2"/>
  <c r="I52" i="2"/>
  <c r="K51" i="2"/>
  <c r="I51" i="2"/>
  <c r="K50" i="2"/>
  <c r="I50" i="2"/>
  <c r="K49" i="2"/>
  <c r="I49" i="2"/>
  <c r="K48" i="2"/>
  <c r="I48" i="2"/>
  <c r="K47" i="2"/>
  <c r="I47" i="2"/>
  <c r="K46" i="2"/>
  <c r="I46" i="2"/>
  <c r="K45" i="2"/>
  <c r="I45" i="2"/>
  <c r="K44" i="2"/>
  <c r="I44" i="2"/>
  <c r="K43" i="2"/>
  <c r="I43" i="2"/>
  <c r="K42" i="2"/>
  <c r="I42" i="2"/>
  <c r="K41" i="2"/>
  <c r="I41" i="2"/>
  <c r="K40" i="2"/>
  <c r="I40" i="2"/>
  <c r="K39" i="2"/>
  <c r="I39" i="2"/>
  <c r="K38" i="2"/>
  <c r="I38" i="2"/>
  <c r="K37" i="2"/>
  <c r="I37" i="2"/>
  <c r="K36" i="2"/>
  <c r="I36" i="2"/>
  <c r="K35" i="2"/>
  <c r="I35" i="2"/>
  <c r="K34" i="2"/>
  <c r="I34" i="2"/>
  <c r="K33" i="2"/>
  <c r="I33" i="2"/>
  <c r="K32" i="2"/>
  <c r="I32" i="2"/>
  <c r="K31" i="2"/>
  <c r="I31" i="2"/>
  <c r="K30" i="2"/>
  <c r="I30" i="2"/>
  <c r="K29" i="2"/>
  <c r="I29" i="2"/>
  <c r="K28" i="2"/>
  <c r="I28" i="2"/>
  <c r="K27" i="2"/>
  <c r="I27" i="2"/>
  <c r="K26" i="2"/>
  <c r="I26" i="2"/>
  <c r="K25" i="2"/>
  <c r="I25" i="2"/>
  <c r="K24" i="2"/>
  <c r="I24" i="2"/>
  <c r="K23" i="2"/>
  <c r="I23" i="2"/>
  <c r="K22" i="2"/>
  <c r="I22" i="2"/>
  <c r="K21" i="2"/>
  <c r="I21" i="2"/>
  <c r="K20" i="2"/>
  <c r="I20" i="2"/>
  <c r="K19" i="2"/>
  <c r="I19" i="2"/>
  <c r="K18" i="2"/>
  <c r="I18" i="2"/>
  <c r="K17" i="2"/>
  <c r="I17" i="2"/>
  <c r="K16" i="2"/>
  <c r="I16" i="2"/>
  <c r="K15" i="2"/>
  <c r="I15" i="2"/>
  <c r="K14" i="2"/>
  <c r="I14" i="2"/>
  <c r="K13" i="2"/>
  <c r="I13" i="2"/>
  <c r="K12" i="2"/>
  <c r="I12" i="2"/>
  <c r="K11" i="2"/>
  <c r="I11" i="2"/>
  <c r="K10" i="2"/>
  <c r="I10" i="2"/>
  <c r="K9" i="2"/>
  <c r="I9" i="2"/>
  <c r="K8" i="2"/>
  <c r="I8" i="2"/>
  <c r="K7" i="2"/>
  <c r="I7" i="2"/>
  <c r="K6" i="2"/>
  <c r="I6" i="2"/>
  <c r="K5" i="2"/>
  <c r="I5" i="2"/>
  <c r="K4" i="2"/>
  <c r="I4" i="2"/>
  <c r="K3" i="2"/>
  <c r="I3" i="2"/>
  <c r="S2" i="2"/>
  <c r="K2" i="2"/>
  <c r="I2" i="2"/>
</calcChain>
</file>

<file path=xl/sharedStrings.xml><?xml version="1.0" encoding="utf-8"?>
<sst xmlns="http://schemas.openxmlformats.org/spreadsheetml/2006/main" count="1490" uniqueCount="100">
  <si>
    <t>Parcela</t>
  </si>
  <si>
    <t>DMG (0-10)</t>
  </si>
  <si>
    <t>DMP (0-10)</t>
  </si>
  <si>
    <t>RMP 0 cm</t>
  </si>
  <si>
    <t>RMP 10 cm</t>
  </si>
  <si>
    <t>Densidade(kg/dm³) (0-10)</t>
  </si>
  <si>
    <t>Estoque de C (0-10)</t>
  </si>
  <si>
    <t>ICV(%)</t>
  </si>
  <si>
    <t>RMP 0-0.10 m</t>
  </si>
  <si>
    <t>CAUPI</t>
  </si>
  <si>
    <t>MILHETO</t>
  </si>
  <si>
    <t>GUANDU</t>
  </si>
  <si>
    <t>CC</t>
  </si>
  <si>
    <t>CM</t>
  </si>
  <si>
    <t>PD</t>
  </si>
  <si>
    <t>Altura de Plantas</t>
  </si>
  <si>
    <t>Diâmetro espiga</t>
  </si>
  <si>
    <t>Comprimento espiga</t>
  </si>
  <si>
    <t>Número de plantas_ha</t>
  </si>
  <si>
    <t>N total de espigas_ha</t>
  </si>
  <si>
    <t>N de espigas comerciais_ha</t>
  </si>
  <si>
    <t>Peso de espigas comerciais_ha</t>
  </si>
  <si>
    <t>Produtividade</t>
  </si>
  <si>
    <t>Estoque de C (10-20)</t>
  </si>
  <si>
    <t>DMG (10-20)</t>
  </si>
  <si>
    <t>DMP (10-20)</t>
  </si>
  <si>
    <t>RMP 20 cm</t>
  </si>
  <si>
    <t>RMP 0.10-0.20 m</t>
  </si>
  <si>
    <t>RMP 30 cm</t>
  </si>
  <si>
    <t>RMP 40 cm</t>
  </si>
  <si>
    <t>Densidade (kg/dm³) (10-20)</t>
  </si>
  <si>
    <t>M.O (0-10)</t>
  </si>
  <si>
    <t>C.O. 0-0.10 m</t>
  </si>
  <si>
    <t>C.O. 0.10-0.20 m</t>
  </si>
  <si>
    <t>Qe</t>
  </si>
  <si>
    <t>Altura de Plantas 100% ureia - sem inococulante</t>
  </si>
  <si>
    <t>Altura de Plantas 50% ureia - com inoculante</t>
  </si>
  <si>
    <t>Diâmetro espiga  100% ureia - sem inoculante</t>
  </si>
  <si>
    <t>Comprimento espiga  100% ureia - sem inoculante</t>
  </si>
  <si>
    <t>Diâmetro espiga  50% ureia - com inoculante</t>
  </si>
  <si>
    <t>Comprimento espiga  50% ureia - com inoculante</t>
  </si>
  <si>
    <t>Número total de plantas 100% ureia -sem inoculante</t>
  </si>
  <si>
    <t>Número total de plantas 50% ureia -com inoculante</t>
  </si>
  <si>
    <t>Número de plantas/ ha 100% ureia - sem inoculante</t>
  </si>
  <si>
    <t>Número de plantas/ ha 50% ureia - com inoculante</t>
  </si>
  <si>
    <t>Nº total de espigas 100% ureia - sem inoculante</t>
  </si>
  <si>
    <t>Nº de espigas comerciais  100% ureia - sem inoculante</t>
  </si>
  <si>
    <t>Peso de espigas comerciais  100% ureia - sem inoculante</t>
  </si>
  <si>
    <t>Nº total de espigas/ha 100% ureia - sem inoculante</t>
  </si>
  <si>
    <t>Nº de espigas comerciais/ha  100% ureia - sem inoculante</t>
  </si>
  <si>
    <t>Peso de espigas comerciais/ha  100% ureia - sem inoculante</t>
  </si>
  <si>
    <t>Nº total de espigas   50% ureia - com inoculante</t>
  </si>
  <si>
    <t>Nº de espigas comerciais  50% ureia - com inoculante</t>
  </si>
  <si>
    <t>Peso de espigas comerciais  50% ureia - com inoculante</t>
  </si>
  <si>
    <t>Nº total de espigas/ha 50% ureia - com  inoculante</t>
  </si>
  <si>
    <t>Nº de espigas comerciais/ha  50% ureia - com inoculante</t>
  </si>
  <si>
    <t>Peso de espigas comerciais/ha  50% ureia - com inoculante</t>
  </si>
  <si>
    <t>Produtividade 100% ureia - sem inoculante</t>
  </si>
  <si>
    <t>Produtividade 50% ureia - com inoculante</t>
  </si>
  <si>
    <t>CAUPI+CC</t>
  </si>
  <si>
    <t>MILHETO+CC</t>
  </si>
  <si>
    <t>CROTA+CC</t>
  </si>
  <si>
    <t>GUANDU+CC</t>
  </si>
  <si>
    <t>CAUPI+CM</t>
  </si>
  <si>
    <t>MILHETO+CM</t>
  </si>
  <si>
    <t>CROTA+CM</t>
  </si>
  <si>
    <t>GUANDU+CM</t>
  </si>
  <si>
    <t>CAUPI+PD</t>
  </si>
  <si>
    <t>MILHETO+PD</t>
  </si>
  <si>
    <t>CROTA+PD</t>
  </si>
  <si>
    <t>GUANDU+PD</t>
  </si>
  <si>
    <t>controle+CC</t>
  </si>
  <si>
    <t>controle+CM</t>
  </si>
  <si>
    <t>controle+PD</t>
  </si>
  <si>
    <t>DMG</t>
  </si>
  <si>
    <t>DMP</t>
  </si>
  <si>
    <t>Estoque de C</t>
  </si>
  <si>
    <t>RMP</t>
  </si>
  <si>
    <t>Densidade</t>
  </si>
  <si>
    <t>Profundidade</t>
  </si>
  <si>
    <t>Sistemadecultivo</t>
  </si>
  <si>
    <t>Culturasantecedentes</t>
  </si>
  <si>
    <t>Na</t>
  </si>
  <si>
    <t>0-0.5</t>
  </si>
  <si>
    <t>0.5-0.10</t>
  </si>
  <si>
    <t>0.10-0.15</t>
  </si>
  <si>
    <t>0.15-0.20</t>
  </si>
  <si>
    <t>0.20-0.25</t>
  </si>
  <si>
    <t>0.25-0.30</t>
  </si>
  <si>
    <t>0.30-0.35</t>
  </si>
  <si>
    <t>0.35-0.40</t>
  </si>
  <si>
    <t>CROTALARIA</t>
  </si>
  <si>
    <t>Sunn hemp</t>
  </si>
  <si>
    <t>Cowpea</t>
  </si>
  <si>
    <t>Millet</t>
  </si>
  <si>
    <t>Pigeon pea</t>
  </si>
  <si>
    <t>MT</t>
  </si>
  <si>
    <t>CT</t>
  </si>
  <si>
    <t>NT</t>
  </si>
  <si>
    <t>Cultura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</si>
</sst>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4D4D4C"/>
      <name val="Lucida Console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9"/>
  <sheetViews>
    <sheetView zoomScale="101" zoomScaleNormal="101" workbookViewId="0">
      <selection sqref="A1:B1"/>
    </sheetView>
  </sheetViews>
  <sheetFormatPr defaultRowHeight="15" x14ac:dyDescent="0.25"/>
  <cols>
    <col min="1" max="1" width="20" bestFit="1" customWidth="1"/>
    <col min="2" max="2" width="13.7109375" bestFit="1" customWidth="1"/>
    <col min="3" max="3" width="12" bestFit="1" customWidth="1"/>
    <col min="4" max="4" width="11.7109375" bestFit="1" customWidth="1"/>
    <col min="5" max="5" width="11.7109375" customWidth="1"/>
    <col min="6" max="7" width="21.85546875" bestFit="1" customWidth="1"/>
    <col min="8" max="8" width="8.5703125" bestFit="1" customWidth="1"/>
    <col min="9" max="9" width="15.42578125" bestFit="1" customWidth="1"/>
    <col min="10" max="10" width="14.85546875" bestFit="1" customWidth="1"/>
    <col min="11" max="11" width="18.5703125" bestFit="1" customWidth="1"/>
    <col min="12" max="12" width="20.28515625" bestFit="1" customWidth="1"/>
    <col min="13" max="13" width="19.140625" bestFit="1" customWidth="1"/>
    <col min="14" max="14" width="24.42578125" bestFit="1" customWidth="1"/>
    <col min="15" max="15" width="27.28515625" bestFit="1" customWidth="1"/>
    <col min="16" max="16" width="12.28515625" bestFit="1" customWidth="1"/>
    <col min="17" max="17" width="21.85546875" customWidth="1"/>
  </cols>
  <sheetData>
    <row r="1" spans="1:17" x14ac:dyDescent="0.25">
      <c r="A1" s="5" t="s">
        <v>0</v>
      </c>
      <c r="B1" s="6" t="s">
        <v>99</v>
      </c>
      <c r="C1" s="5" t="s">
        <v>74</v>
      </c>
      <c r="D1" s="5" t="s">
        <v>75</v>
      </c>
      <c r="E1" s="5" t="s">
        <v>77</v>
      </c>
      <c r="F1" s="5" t="s">
        <v>78</v>
      </c>
      <c r="G1" s="5" t="s">
        <v>76</v>
      </c>
      <c r="H1" s="5" t="s">
        <v>7</v>
      </c>
      <c r="I1" s="5" t="s">
        <v>15</v>
      </c>
      <c r="J1" s="5" t="s">
        <v>16</v>
      </c>
      <c r="K1" s="5" t="s">
        <v>17</v>
      </c>
      <c r="L1" s="5" t="s">
        <v>18</v>
      </c>
      <c r="M1" s="5" t="s">
        <v>19</v>
      </c>
      <c r="N1" s="5" t="s">
        <v>20</v>
      </c>
      <c r="O1" s="5" t="s">
        <v>21</v>
      </c>
      <c r="P1" s="5" t="s">
        <v>22</v>
      </c>
      <c r="Q1" s="4" t="s">
        <v>82</v>
      </c>
    </row>
    <row r="2" spans="1:17" x14ac:dyDescent="0.25">
      <c r="A2" t="s">
        <v>97</v>
      </c>
      <c r="B2" t="s">
        <v>93</v>
      </c>
      <c r="C2" s="3">
        <v>-0.66337559197794871</v>
      </c>
      <c r="D2" s="3">
        <v>0.43235188805333757</v>
      </c>
      <c r="E2" s="3">
        <v>-0.69936240051374488</v>
      </c>
      <c r="F2" s="2">
        <v>-0.14981089999696673</v>
      </c>
      <c r="G2" s="1">
        <v>4.4566796201667161E-2</v>
      </c>
      <c r="H2" s="1">
        <v>0.35454616252119497</v>
      </c>
      <c r="I2" s="2">
        <v>1.88</v>
      </c>
      <c r="J2" s="2">
        <v>50.2</v>
      </c>
      <c r="K2" s="2">
        <v>18.8</v>
      </c>
      <c r="L2" s="2">
        <v>14500</v>
      </c>
      <c r="M2" s="2">
        <v>14833.333333333334</v>
      </c>
      <c r="N2" s="2">
        <v>6333.333333333333</v>
      </c>
      <c r="O2" s="2">
        <v>1466.6666666666667</v>
      </c>
      <c r="P2" s="2">
        <v>6333.333333333333</v>
      </c>
      <c r="Q2" s="2">
        <v>10.4</v>
      </c>
    </row>
    <row r="3" spans="1:17" x14ac:dyDescent="0.25">
      <c r="A3" t="s">
        <v>97</v>
      </c>
      <c r="B3" t="s">
        <v>93</v>
      </c>
      <c r="C3" s="3">
        <v>-0.45080605224651332</v>
      </c>
      <c r="D3" s="3">
        <v>0.57891291662290789</v>
      </c>
      <c r="E3" s="3">
        <v>-0.69936240051374488</v>
      </c>
      <c r="F3" s="2">
        <v>-0.29145674904279312</v>
      </c>
      <c r="G3" s="1">
        <v>4.4566796201667161E-2</v>
      </c>
      <c r="H3" s="1">
        <v>0.35454616252119453</v>
      </c>
      <c r="I3" s="2">
        <v>1.7</v>
      </c>
      <c r="J3" s="2">
        <v>50.2</v>
      </c>
      <c r="K3" s="2">
        <v>18.8</v>
      </c>
      <c r="L3" s="2">
        <v>14500</v>
      </c>
      <c r="M3" s="2">
        <v>14833.333333333334</v>
      </c>
      <c r="N3" s="2">
        <v>6333.333333333333</v>
      </c>
      <c r="O3" s="2">
        <v>1466.6666666666667</v>
      </c>
      <c r="P3" s="2">
        <v>6333.333333333333</v>
      </c>
      <c r="Q3" s="2">
        <v>6.9</v>
      </c>
    </row>
    <row r="4" spans="1:17" x14ac:dyDescent="0.25">
      <c r="A4" t="s">
        <v>97</v>
      </c>
      <c r="B4" t="s">
        <v>93</v>
      </c>
      <c r="C4" s="3">
        <v>-0.78280477922173597</v>
      </c>
      <c r="D4" s="3">
        <v>0.57089586674323156</v>
      </c>
      <c r="E4" s="3">
        <v>-0.69936240051374488</v>
      </c>
      <c r="F4" s="2">
        <v>-0.2303484734588637</v>
      </c>
      <c r="G4" s="1">
        <v>-0.20535292802919047</v>
      </c>
      <c r="H4" s="1">
        <v>0.35454616252119453</v>
      </c>
      <c r="I4" s="2">
        <v>1.88</v>
      </c>
      <c r="J4" s="2">
        <v>50.2</v>
      </c>
      <c r="K4" s="2">
        <v>18.8</v>
      </c>
      <c r="L4" s="2">
        <v>14500</v>
      </c>
      <c r="M4" s="2">
        <v>14833.333333333334</v>
      </c>
      <c r="N4" s="2">
        <v>6333.333333333333</v>
      </c>
      <c r="O4" s="2">
        <v>1466.6666666666667</v>
      </c>
      <c r="P4" s="2">
        <v>6333.333333333333</v>
      </c>
      <c r="Q4" s="2">
        <v>5.8</v>
      </c>
    </row>
    <row r="5" spans="1:17" x14ac:dyDescent="0.25">
      <c r="A5" t="s">
        <v>97</v>
      </c>
      <c r="B5" t="s">
        <v>93</v>
      </c>
      <c r="C5" s="3">
        <v>-0.79719092943104441</v>
      </c>
      <c r="D5" s="3">
        <v>0.47826385274888339</v>
      </c>
      <c r="E5" s="3">
        <v>-0.38840314628702888</v>
      </c>
      <c r="F5" s="2">
        <v>-0.11565294082441098</v>
      </c>
      <c r="G5" s="1">
        <v>-2.9754589003982861E-2</v>
      </c>
      <c r="H5" s="1">
        <v>-1.8195576642597089</v>
      </c>
      <c r="I5" s="2">
        <v>2</v>
      </c>
      <c r="J5" s="2">
        <v>54.8</v>
      </c>
      <c r="K5" s="2">
        <v>17.399999999999999</v>
      </c>
      <c r="L5" s="2">
        <v>14500</v>
      </c>
      <c r="M5" s="2">
        <v>14166.666666666666</v>
      </c>
      <c r="N5" s="2">
        <v>6666.666666666667</v>
      </c>
      <c r="O5" s="2">
        <v>1816.6666666666667</v>
      </c>
      <c r="P5" s="2">
        <v>6666.666666666667</v>
      </c>
      <c r="Q5" s="2">
        <v>12.6</v>
      </c>
    </row>
    <row r="6" spans="1:17" x14ac:dyDescent="0.25">
      <c r="A6" t="s">
        <v>97</v>
      </c>
      <c r="B6" t="s">
        <v>93</v>
      </c>
      <c r="C6" s="3">
        <v>-0.48463503715538303</v>
      </c>
      <c r="D6" s="3">
        <v>0.74118906418738661</v>
      </c>
      <c r="E6" s="3">
        <v>-0.38840314628702888</v>
      </c>
      <c r="F6" s="2">
        <v>-0.17456758600276459</v>
      </c>
      <c r="G6" s="1">
        <v>-6.5363350308953586E-2</v>
      </c>
      <c r="H6" s="1">
        <v>-1.8195576642597089</v>
      </c>
      <c r="I6" s="2">
        <v>1.85</v>
      </c>
      <c r="J6" s="2">
        <v>54.8</v>
      </c>
      <c r="K6" s="2">
        <v>17.399999999999999</v>
      </c>
      <c r="L6" s="2">
        <v>14500</v>
      </c>
      <c r="M6" s="2">
        <v>14166.666666666666</v>
      </c>
      <c r="N6" s="2">
        <v>6666.666666666667</v>
      </c>
      <c r="O6" s="2">
        <v>1816.6666666666667</v>
      </c>
      <c r="P6" s="2">
        <v>6666.666666666667</v>
      </c>
      <c r="Q6" s="2">
        <v>7.8</v>
      </c>
    </row>
    <row r="7" spans="1:17" x14ac:dyDescent="0.25">
      <c r="A7" t="s">
        <v>97</v>
      </c>
      <c r="B7" t="s">
        <v>93</v>
      </c>
      <c r="C7" s="3">
        <v>-0.58085396742615891</v>
      </c>
      <c r="D7" s="3">
        <v>0.54310200946806808</v>
      </c>
      <c r="E7" s="3">
        <v>-0.38840314628702888</v>
      </c>
      <c r="F7" s="2">
        <v>-0.10186440684649868</v>
      </c>
      <c r="G7" s="1">
        <v>-0.1009721116139244</v>
      </c>
      <c r="H7" s="1">
        <v>-1.8195576642597089</v>
      </c>
      <c r="I7" s="2">
        <v>1.8</v>
      </c>
      <c r="J7" s="2">
        <v>54.8</v>
      </c>
      <c r="K7" s="2">
        <v>17.399999999999999</v>
      </c>
      <c r="L7" s="2">
        <v>14500</v>
      </c>
      <c r="M7" s="2">
        <v>14166.666666666666</v>
      </c>
      <c r="N7" s="2">
        <v>6666.666666666667</v>
      </c>
      <c r="O7" s="2">
        <v>1816.6666666666667</v>
      </c>
      <c r="P7" s="2">
        <v>6666.666666666667</v>
      </c>
      <c r="Q7" s="2">
        <v>6.3</v>
      </c>
    </row>
    <row r="8" spans="1:17" x14ac:dyDescent="0.25">
      <c r="A8" t="s">
        <v>97</v>
      </c>
      <c r="B8" t="s">
        <v>93</v>
      </c>
      <c r="C8" s="3">
        <v>-0.40634684392248588</v>
      </c>
      <c r="D8" s="3">
        <v>0.74072122573286991</v>
      </c>
      <c r="E8" s="3">
        <v>-0.56203387324768905</v>
      </c>
      <c r="F8" s="2">
        <v>-9.0896254818613215E-2</v>
      </c>
      <c r="G8" s="1">
        <v>-0.13262882276321483</v>
      </c>
      <c r="H8" s="1">
        <v>-1.036880286618584</v>
      </c>
      <c r="I8" s="2">
        <v>2</v>
      </c>
      <c r="J8" s="2">
        <v>54.2</v>
      </c>
      <c r="K8" s="2">
        <v>18.2</v>
      </c>
      <c r="L8" s="2">
        <v>20166.666666666668</v>
      </c>
      <c r="M8" s="2">
        <v>20666.666666666668</v>
      </c>
      <c r="N8" s="2">
        <v>12000</v>
      </c>
      <c r="O8" s="2">
        <v>2900</v>
      </c>
      <c r="P8" s="2">
        <v>12000</v>
      </c>
      <c r="Q8" s="1">
        <v>10.532999999999999</v>
      </c>
    </row>
    <row r="9" spans="1:17" x14ac:dyDescent="0.25">
      <c r="A9" t="s">
        <v>97</v>
      </c>
      <c r="B9" t="s">
        <v>93</v>
      </c>
      <c r="C9" s="3">
        <v>-0.73315491986023618</v>
      </c>
      <c r="D9" s="3">
        <v>0.55792398232253548</v>
      </c>
      <c r="E9" s="3">
        <v>-0.56203387324768905</v>
      </c>
      <c r="F9" s="2">
        <v>-7.084020539619558E-2</v>
      </c>
      <c r="G9" s="1">
        <v>-0.14144493464896499</v>
      </c>
      <c r="H9" s="1">
        <v>-1.036880286618584</v>
      </c>
      <c r="I9" s="2">
        <v>2.15</v>
      </c>
      <c r="J9" s="2">
        <v>54.2</v>
      </c>
      <c r="K9" s="2">
        <v>18.2</v>
      </c>
      <c r="L9" s="2">
        <v>20166.666666666668</v>
      </c>
      <c r="M9" s="2">
        <v>20666.666666666668</v>
      </c>
      <c r="N9" s="2">
        <v>12000</v>
      </c>
      <c r="O9" s="2">
        <v>2900</v>
      </c>
      <c r="P9" s="2">
        <v>12000</v>
      </c>
      <c r="Q9" s="1">
        <v>10.532999999999999</v>
      </c>
    </row>
    <row r="10" spans="1:17" x14ac:dyDescent="0.25">
      <c r="A10" t="s">
        <v>97</v>
      </c>
      <c r="B10" t="s">
        <v>93</v>
      </c>
      <c r="C10" s="3">
        <v>-0.78949205323721916</v>
      </c>
      <c r="D10" s="3">
        <v>0.60413366239822852</v>
      </c>
      <c r="E10" s="3">
        <v>-0.56203387324768905</v>
      </c>
      <c r="F10" s="2">
        <v>-5.5484792557156569E-2</v>
      </c>
      <c r="G10" s="1">
        <v>-0.15330108511600904</v>
      </c>
      <c r="H10" s="1">
        <v>-1.036880286618584</v>
      </c>
      <c r="I10" s="2">
        <v>2</v>
      </c>
      <c r="J10" s="2">
        <v>54.2</v>
      </c>
      <c r="K10" s="2">
        <v>18.2</v>
      </c>
      <c r="L10" s="2">
        <v>20166.666666666668</v>
      </c>
      <c r="M10" s="2">
        <v>20666.666666666668</v>
      </c>
      <c r="N10" s="2">
        <v>12000</v>
      </c>
      <c r="O10" s="2">
        <v>2900</v>
      </c>
      <c r="P10" s="2">
        <v>12000</v>
      </c>
      <c r="Q10" s="1">
        <v>10.532999999999999</v>
      </c>
    </row>
    <row r="11" spans="1:17" x14ac:dyDescent="0.25">
      <c r="A11" t="s">
        <v>97</v>
      </c>
      <c r="B11" t="s">
        <v>94</v>
      </c>
      <c r="C11" s="3">
        <v>-0.82845421178706469</v>
      </c>
      <c r="D11" s="3">
        <v>0.45176718391578952</v>
      </c>
      <c r="E11" s="3">
        <v>-4.8880302377965118E-2</v>
      </c>
      <c r="F11" s="2">
        <v>-5.5484792557156569E-2</v>
      </c>
      <c r="G11" s="1">
        <v>-6.7049647952941036E-2</v>
      </c>
      <c r="H11" s="1">
        <v>-0.34116706204869518</v>
      </c>
      <c r="I11" s="2">
        <v>1.8</v>
      </c>
      <c r="J11" s="2">
        <v>50.8</v>
      </c>
      <c r="K11" s="2">
        <v>18</v>
      </c>
      <c r="L11" s="2">
        <v>14500</v>
      </c>
      <c r="M11" s="2">
        <v>13500</v>
      </c>
      <c r="N11" s="2">
        <v>3333.3333333333335</v>
      </c>
      <c r="O11" s="2">
        <v>733.33333333333337</v>
      </c>
      <c r="P11" s="2">
        <v>3333.3333333333335</v>
      </c>
      <c r="Q11" s="2">
        <v>17.7</v>
      </c>
    </row>
    <row r="12" spans="1:17" x14ac:dyDescent="0.25">
      <c r="A12" t="s">
        <v>97</v>
      </c>
      <c r="B12" t="s">
        <v>94</v>
      </c>
      <c r="C12" s="3">
        <v>-0.30871352756407167</v>
      </c>
      <c r="D12" s="3">
        <v>0.59577636636981279</v>
      </c>
      <c r="E12" s="3">
        <v>-4.8880302377965118E-2</v>
      </c>
      <c r="F12" s="2">
        <v>-0.11314593464660928</v>
      </c>
      <c r="G12" s="1">
        <v>-0.14109894130766876</v>
      </c>
      <c r="H12" s="1">
        <v>-0.34116706204869518</v>
      </c>
      <c r="I12" s="2">
        <v>1.7</v>
      </c>
      <c r="J12" s="2">
        <v>50.8</v>
      </c>
      <c r="K12" s="2">
        <v>18</v>
      </c>
      <c r="L12" s="2">
        <v>14500</v>
      </c>
      <c r="M12" s="2">
        <v>13500</v>
      </c>
      <c r="N12" s="2">
        <v>3333.3333333333335</v>
      </c>
      <c r="O12" s="2">
        <v>733.33333333333337</v>
      </c>
      <c r="P12" s="2">
        <v>3333.3333333333335</v>
      </c>
      <c r="Q12" s="2">
        <v>13.5</v>
      </c>
    </row>
    <row r="13" spans="1:17" x14ac:dyDescent="0.25">
      <c r="A13" t="s">
        <v>97</v>
      </c>
      <c r="B13" t="s">
        <v>94</v>
      </c>
      <c r="C13" s="3">
        <v>-0.72075571903443736</v>
      </c>
      <c r="D13" s="3">
        <v>0.38914062716341236</v>
      </c>
      <c r="E13" s="3">
        <v>-4.8880302377965118E-2</v>
      </c>
      <c r="F13" s="2">
        <v>-0.15983892470817548</v>
      </c>
      <c r="G13" s="1">
        <v>-0.11922074099831752</v>
      </c>
      <c r="H13" s="1">
        <v>-0.34116706204869518</v>
      </c>
      <c r="I13" s="2">
        <v>1.85</v>
      </c>
      <c r="J13" s="2">
        <v>50.8</v>
      </c>
      <c r="K13" s="2">
        <v>18</v>
      </c>
      <c r="L13" s="2">
        <v>14500</v>
      </c>
      <c r="M13" s="2">
        <v>13500</v>
      </c>
      <c r="N13" s="2">
        <v>3333.3333333333335</v>
      </c>
      <c r="O13" s="2">
        <v>733.33333333333337</v>
      </c>
      <c r="P13" s="2">
        <v>3333.3333333333335</v>
      </c>
      <c r="Q13" s="2">
        <v>12.5</v>
      </c>
    </row>
    <row r="14" spans="1:17" x14ac:dyDescent="0.25">
      <c r="A14" t="s">
        <v>97</v>
      </c>
      <c r="B14" t="s">
        <v>94</v>
      </c>
      <c r="C14" s="3">
        <v>-0.64025508817023591</v>
      </c>
      <c r="D14" s="3">
        <v>-1.8793239791037031E-2</v>
      </c>
      <c r="E14" s="3">
        <v>-0.19222151770779355</v>
      </c>
      <c r="F14" s="2">
        <v>-0.12129370472446625</v>
      </c>
      <c r="G14" s="1">
        <v>-8.351960283037832E-2</v>
      </c>
      <c r="H14" s="1">
        <v>0.35454616252119453</v>
      </c>
      <c r="I14" s="2">
        <v>1.8</v>
      </c>
      <c r="J14" s="2">
        <v>51.2</v>
      </c>
      <c r="K14" s="2">
        <v>20</v>
      </c>
      <c r="L14" s="2">
        <v>14500</v>
      </c>
      <c r="M14" s="2">
        <v>13166.666666666666</v>
      </c>
      <c r="N14" s="2">
        <v>1833.3333333333333</v>
      </c>
      <c r="O14" s="2">
        <v>366.66666666666669</v>
      </c>
      <c r="P14" s="2">
        <v>1833.3333333333333</v>
      </c>
      <c r="Q14" s="2">
        <v>10.3</v>
      </c>
    </row>
    <row r="15" spans="1:17" x14ac:dyDescent="0.25">
      <c r="A15" t="s">
        <v>97</v>
      </c>
      <c r="B15" t="s">
        <v>94</v>
      </c>
      <c r="C15" s="3">
        <v>-0.66358604767589047</v>
      </c>
      <c r="D15" s="3">
        <v>-3.344508957113445E-2</v>
      </c>
      <c r="E15" s="3">
        <v>-0.19222151770779355</v>
      </c>
      <c r="F15" s="2">
        <v>-0.16516631283600577</v>
      </c>
      <c r="G15" s="1">
        <v>-0.15524435839697867</v>
      </c>
      <c r="H15" s="1">
        <v>0.35454616252119453</v>
      </c>
      <c r="I15" s="2">
        <v>1.7</v>
      </c>
      <c r="J15" s="2">
        <v>51.2</v>
      </c>
      <c r="K15" s="2">
        <v>20</v>
      </c>
      <c r="L15" s="2">
        <v>14500</v>
      </c>
      <c r="M15" s="2">
        <v>13166.666666666666</v>
      </c>
      <c r="N15" s="2">
        <v>1833.3333333333333</v>
      </c>
      <c r="O15" s="2">
        <v>366.66666666666669</v>
      </c>
      <c r="P15" s="2">
        <v>1833.3333333333333</v>
      </c>
      <c r="Q15" s="2">
        <v>4.4000000000000004</v>
      </c>
    </row>
    <row r="16" spans="1:17" x14ac:dyDescent="0.25">
      <c r="A16" t="s">
        <v>97</v>
      </c>
      <c r="B16" t="s">
        <v>94</v>
      </c>
      <c r="C16" s="3">
        <v>-0.59683622072279907</v>
      </c>
      <c r="D16" s="3">
        <v>-0.18147342965714428</v>
      </c>
      <c r="E16" s="3">
        <v>-0.19222151770779355</v>
      </c>
      <c r="F16" s="2">
        <v>-0.1871026168917751</v>
      </c>
      <c r="G16" s="1">
        <v>-0.15709021607700135</v>
      </c>
      <c r="H16" s="1">
        <v>0.35454616252119453</v>
      </c>
      <c r="I16" s="2">
        <v>1.8</v>
      </c>
      <c r="J16" s="2">
        <v>51.2</v>
      </c>
      <c r="K16" s="2">
        <v>20</v>
      </c>
      <c r="L16" s="2">
        <v>14500</v>
      </c>
      <c r="M16" s="2">
        <v>13166.666666666666</v>
      </c>
      <c r="N16" s="2">
        <v>1833.3333333333333</v>
      </c>
      <c r="O16" s="2">
        <v>366.66666666666669</v>
      </c>
      <c r="P16" s="2">
        <v>1833.3333333333333</v>
      </c>
      <c r="Q16" s="2">
        <v>12.5</v>
      </c>
    </row>
    <row r="17" spans="1:17" x14ac:dyDescent="0.25">
      <c r="A17" t="s">
        <v>97</v>
      </c>
      <c r="B17" t="s">
        <v>94</v>
      </c>
      <c r="C17" s="3">
        <v>-0.62879984304844083</v>
      </c>
      <c r="D17" s="3">
        <v>0.37229844280080326</v>
      </c>
      <c r="E17" s="3">
        <v>1.9384721266118841</v>
      </c>
      <c r="F17" s="2">
        <v>-0.13508223870237854</v>
      </c>
      <c r="G17" s="1">
        <v>-0.26203033240805229</v>
      </c>
      <c r="H17" s="1">
        <v>-0.68902367433363909</v>
      </c>
      <c r="I17" s="2">
        <v>1.8</v>
      </c>
      <c r="J17" s="2">
        <v>49.6</v>
      </c>
      <c r="K17" s="2">
        <v>20.399999999999999</v>
      </c>
      <c r="L17" s="2">
        <v>13666.666666666666</v>
      </c>
      <c r="M17" s="2">
        <v>13500</v>
      </c>
      <c r="N17" s="2">
        <v>4833.333333333333</v>
      </c>
      <c r="O17" s="2">
        <v>966.66666666666663</v>
      </c>
      <c r="P17" s="2">
        <v>4833.333333333333</v>
      </c>
      <c r="Q17" s="1">
        <v>10.532999999999999</v>
      </c>
    </row>
    <row r="18" spans="1:17" x14ac:dyDescent="0.25">
      <c r="A18" t="s">
        <v>97</v>
      </c>
      <c r="B18" t="s">
        <v>94</v>
      </c>
      <c r="C18" s="3">
        <v>-0.66017012178870893</v>
      </c>
      <c r="D18" s="3">
        <v>0.18433371100648677</v>
      </c>
      <c r="E18" s="3">
        <v>1.9384721266118841</v>
      </c>
      <c r="F18" s="2">
        <v>-9.7163770263119273E-2</v>
      </c>
      <c r="G18" s="1">
        <v>-0.26517450490760036</v>
      </c>
      <c r="H18" s="1">
        <v>-0.68902367433363909</v>
      </c>
      <c r="I18" s="2">
        <v>1.7</v>
      </c>
      <c r="J18" s="2">
        <v>49.6</v>
      </c>
      <c r="K18" s="2">
        <v>20.399999999999999</v>
      </c>
      <c r="L18" s="2">
        <v>13666.666666666666</v>
      </c>
      <c r="M18" s="2">
        <v>13500</v>
      </c>
      <c r="N18" s="2">
        <v>4833.333333333333</v>
      </c>
      <c r="O18" s="2">
        <v>966.66666666666663</v>
      </c>
      <c r="P18" s="2">
        <v>4833.333333333333</v>
      </c>
      <c r="Q18" s="1">
        <v>10.532999999999999</v>
      </c>
    </row>
    <row r="19" spans="1:17" x14ac:dyDescent="0.25">
      <c r="A19" t="s">
        <v>97</v>
      </c>
      <c r="B19" t="s">
        <v>94</v>
      </c>
      <c r="C19" s="3">
        <v>-0.667001531429253</v>
      </c>
      <c r="D19" s="3">
        <v>0.1837382802461924</v>
      </c>
      <c r="E19" s="3">
        <v>1.9384721266118841</v>
      </c>
      <c r="F19" s="2">
        <v>-0.19431025965295715</v>
      </c>
      <c r="G19" s="1">
        <v>-0.27847677317491626</v>
      </c>
      <c r="H19" s="1">
        <v>-0.68902367433363909</v>
      </c>
      <c r="I19" s="2">
        <v>1.6</v>
      </c>
      <c r="J19" s="2">
        <v>49.6</v>
      </c>
      <c r="K19" s="2">
        <v>20.399999999999999</v>
      </c>
      <c r="L19" s="2">
        <v>13666.666666666666</v>
      </c>
      <c r="M19" s="2">
        <v>13500</v>
      </c>
      <c r="N19" s="2">
        <v>4833.333333333333</v>
      </c>
      <c r="O19" s="2">
        <v>966.66666666666663</v>
      </c>
      <c r="P19" s="2">
        <v>4833.333333333333</v>
      </c>
      <c r="Q19" s="1">
        <v>10.532999999999999</v>
      </c>
    </row>
    <row r="20" spans="1:17" x14ac:dyDescent="0.25">
      <c r="A20" t="s">
        <v>97</v>
      </c>
      <c r="B20" t="s">
        <v>92</v>
      </c>
      <c r="C20" s="3">
        <v>-0.78849813641164512</v>
      </c>
      <c r="D20" s="3">
        <v>0.7822525212633934</v>
      </c>
      <c r="E20" s="3">
        <v>2.5718216199806196</v>
      </c>
      <c r="F20" s="2">
        <v>-0.13664911756350442</v>
      </c>
      <c r="G20" s="1">
        <v>-0.169933959188134</v>
      </c>
      <c r="H20" s="1">
        <v>-8.0274602834986539E-2</v>
      </c>
      <c r="I20" s="2">
        <v>1.7</v>
      </c>
      <c r="J20" s="2">
        <v>50.6</v>
      </c>
      <c r="K20" s="2">
        <v>17.8</v>
      </c>
      <c r="L20" s="2">
        <v>11166.666666666666</v>
      </c>
      <c r="M20" s="2">
        <v>11000</v>
      </c>
      <c r="N20" s="2">
        <v>6500</v>
      </c>
      <c r="O20" s="2">
        <v>1450</v>
      </c>
      <c r="P20" s="2">
        <v>6500</v>
      </c>
      <c r="Q20" s="2">
        <v>8</v>
      </c>
    </row>
    <row r="21" spans="1:17" x14ac:dyDescent="0.25">
      <c r="A21" t="s">
        <v>97</v>
      </c>
      <c r="B21" t="s">
        <v>92</v>
      </c>
      <c r="C21" s="3">
        <v>-0.81123707873338358</v>
      </c>
      <c r="D21" s="3">
        <v>0.53931677106334019</v>
      </c>
      <c r="E21" s="3">
        <v>2.5718216199806196</v>
      </c>
      <c r="F21" s="2">
        <v>-0.19775739314743476</v>
      </c>
      <c r="G21" s="1">
        <v>-0.22742595954043654</v>
      </c>
      <c r="H21" s="1">
        <v>-8.0274602834986539E-2</v>
      </c>
      <c r="I21" s="2">
        <v>1.8</v>
      </c>
      <c r="J21" s="2">
        <v>50.6</v>
      </c>
      <c r="K21" s="2">
        <v>17.8</v>
      </c>
      <c r="L21" s="2">
        <v>11166.666666666666</v>
      </c>
      <c r="M21" s="2">
        <v>11000</v>
      </c>
      <c r="N21" s="2">
        <v>6500</v>
      </c>
      <c r="O21" s="2">
        <v>1450</v>
      </c>
      <c r="P21" s="2">
        <v>6500</v>
      </c>
      <c r="Q21" s="2">
        <v>6.2</v>
      </c>
    </row>
    <row r="22" spans="1:17" x14ac:dyDescent="0.25">
      <c r="A22" t="s">
        <v>97</v>
      </c>
      <c r="B22" t="s">
        <v>92</v>
      </c>
      <c r="C22" s="3">
        <v>-0.7593814137478675</v>
      </c>
      <c r="D22" s="3">
        <v>0.7227732413868575</v>
      </c>
      <c r="E22" s="3">
        <v>2.5718216199806196</v>
      </c>
      <c r="F22" s="2">
        <v>-0.19963764778078649</v>
      </c>
      <c r="G22" s="1">
        <v>-0.25699327400733529</v>
      </c>
      <c r="H22" s="1">
        <v>-8.0274602834986539E-2</v>
      </c>
      <c r="I22" s="2">
        <v>1.85</v>
      </c>
      <c r="J22" s="2">
        <v>50.6</v>
      </c>
      <c r="K22" s="2">
        <v>17.8</v>
      </c>
      <c r="L22" s="2">
        <v>11166.666666666666</v>
      </c>
      <c r="M22" s="2">
        <v>11000</v>
      </c>
      <c r="N22" s="2">
        <v>6500</v>
      </c>
      <c r="O22" s="2">
        <v>1450</v>
      </c>
      <c r="P22" s="2">
        <v>6500</v>
      </c>
      <c r="Q22" s="2">
        <v>6.4</v>
      </c>
    </row>
    <row r="23" spans="1:17" x14ac:dyDescent="0.25">
      <c r="A23" t="s">
        <v>97</v>
      </c>
      <c r="B23" t="s">
        <v>92</v>
      </c>
      <c r="C23" s="3">
        <v>-0.67834093749041613</v>
      </c>
      <c r="D23" s="3">
        <v>-8.5007937916646396E-3</v>
      </c>
      <c r="E23" s="3">
        <v>0.70132659879289794</v>
      </c>
      <c r="F23" s="2">
        <v>-0.19117650193070451</v>
      </c>
      <c r="G23" s="1">
        <v>-1.115828669896583E-2</v>
      </c>
      <c r="H23" s="1">
        <v>-8.0274602834986539E-2</v>
      </c>
      <c r="I23" s="2">
        <v>1.5</v>
      </c>
      <c r="J23" s="2">
        <v>39.4</v>
      </c>
      <c r="K23" s="2">
        <v>17.2</v>
      </c>
      <c r="L23" s="2">
        <v>13333.333333333334</v>
      </c>
      <c r="M23" s="2">
        <v>12333.333333333334</v>
      </c>
      <c r="N23" s="2">
        <v>3500</v>
      </c>
      <c r="O23" s="2">
        <v>766.66666666666663</v>
      </c>
      <c r="P23" s="2">
        <v>3500</v>
      </c>
      <c r="Q23" s="2">
        <v>15.9</v>
      </c>
    </row>
    <row r="24" spans="1:17" x14ac:dyDescent="0.25">
      <c r="A24" t="s">
        <v>97</v>
      </c>
      <c r="B24" t="s">
        <v>92</v>
      </c>
      <c r="C24" s="3">
        <v>-0.38367908514563953</v>
      </c>
      <c r="D24" s="3">
        <v>-7.1398091967064103E-3</v>
      </c>
      <c r="E24" s="3">
        <v>0.70132659879289794</v>
      </c>
      <c r="F24" s="2">
        <v>-5.7678422962734163E-2</v>
      </c>
      <c r="G24" s="1">
        <v>2.5349049545779559E-2</v>
      </c>
      <c r="H24" s="1">
        <v>-8.0274602834986539E-2</v>
      </c>
      <c r="I24" s="2">
        <v>1.8</v>
      </c>
      <c r="J24" s="2">
        <v>39.4</v>
      </c>
      <c r="K24" s="2">
        <v>17.2</v>
      </c>
      <c r="L24" s="2">
        <v>13333.333333333334</v>
      </c>
      <c r="M24" s="2">
        <v>12333.333333333334</v>
      </c>
      <c r="N24" s="2">
        <v>3500</v>
      </c>
      <c r="O24" s="2">
        <v>766.66666666666663</v>
      </c>
      <c r="P24" s="2">
        <v>3500</v>
      </c>
      <c r="Q24" s="2">
        <v>5.2</v>
      </c>
    </row>
    <row r="25" spans="1:17" x14ac:dyDescent="0.25">
      <c r="A25" t="s">
        <v>97</v>
      </c>
      <c r="B25" t="s">
        <v>92</v>
      </c>
      <c r="C25" s="3">
        <v>-0.71129140250052458</v>
      </c>
      <c r="D25" s="3">
        <v>-0.23946413263294467</v>
      </c>
      <c r="E25" s="3">
        <v>0.70132659879289794</v>
      </c>
      <c r="F25" s="2">
        <v>-0.15670516698592291</v>
      </c>
      <c r="G25" s="1">
        <v>4.2577191715490001E-4</v>
      </c>
      <c r="H25" s="1">
        <v>-8.0274602834986539E-2</v>
      </c>
      <c r="I25" s="2">
        <v>1.65</v>
      </c>
      <c r="J25" s="2">
        <v>39.4</v>
      </c>
      <c r="K25" s="2">
        <v>17.2</v>
      </c>
      <c r="L25" s="2">
        <v>13333.333333333334</v>
      </c>
      <c r="M25" s="2">
        <v>12333.333333333334</v>
      </c>
      <c r="N25" s="2">
        <v>3500</v>
      </c>
      <c r="O25" s="2">
        <v>766.66666666666663</v>
      </c>
      <c r="P25" s="2">
        <v>3500</v>
      </c>
      <c r="Q25" s="2">
        <v>9.1</v>
      </c>
    </row>
    <row r="26" spans="1:17" x14ac:dyDescent="0.25">
      <c r="A26" t="s">
        <v>97</v>
      </c>
      <c r="B26" t="s">
        <v>92</v>
      </c>
      <c r="C26" s="3">
        <v>-0.70750762127576405</v>
      </c>
      <c r="D26" s="3">
        <v>-0.65720134174795242</v>
      </c>
      <c r="E26" s="3">
        <v>-0.54700938293531265</v>
      </c>
      <c r="F26" s="2">
        <v>-0.1692401978749343</v>
      </c>
      <c r="G26" s="1">
        <v>-8.01990745015288E-2</v>
      </c>
      <c r="H26" s="1">
        <v>-2.9500916541857793</v>
      </c>
      <c r="I26" s="2">
        <v>2.1</v>
      </c>
      <c r="J26" s="2">
        <v>52.6</v>
      </c>
      <c r="K26" s="2">
        <v>16.8</v>
      </c>
      <c r="L26" s="2">
        <v>16166.666666666666</v>
      </c>
      <c r="M26" s="2">
        <v>15333.333333333334</v>
      </c>
      <c r="N26" s="2">
        <v>8666.6666666666661</v>
      </c>
      <c r="O26" s="2">
        <v>2116.6666666666665</v>
      </c>
      <c r="P26" s="2">
        <v>8666.6666666666661</v>
      </c>
      <c r="Q26" s="1">
        <v>10.532999999999999</v>
      </c>
    </row>
    <row r="27" spans="1:17" x14ac:dyDescent="0.25">
      <c r="A27" t="s">
        <v>97</v>
      </c>
      <c r="B27" t="s">
        <v>92</v>
      </c>
      <c r="C27" s="3">
        <v>-0.61817271457001777</v>
      </c>
      <c r="D27" s="3">
        <v>-0.77824390916205488</v>
      </c>
      <c r="E27" s="3">
        <v>-0.54700938293531265</v>
      </c>
      <c r="F27" s="2">
        <v>0.20305021952869934</v>
      </c>
      <c r="G27" s="1">
        <v>-8.019907450152973E-2</v>
      </c>
      <c r="H27" s="1">
        <v>-2.9500916541857793</v>
      </c>
      <c r="I27" s="2">
        <v>1.95</v>
      </c>
      <c r="J27" s="2">
        <v>52.6</v>
      </c>
      <c r="K27" s="2">
        <v>16.8</v>
      </c>
      <c r="L27" s="2">
        <v>16166.666666666666</v>
      </c>
      <c r="M27" s="2">
        <v>15333.333333333334</v>
      </c>
      <c r="N27" s="2">
        <v>8666.6666666666661</v>
      </c>
      <c r="O27" s="2">
        <v>2116.6666666666665</v>
      </c>
      <c r="P27" s="2">
        <v>8666.6666666666661</v>
      </c>
      <c r="Q27" s="1">
        <v>10.532999999999999</v>
      </c>
    </row>
    <row r="28" spans="1:17" x14ac:dyDescent="0.25">
      <c r="A28" t="s">
        <v>97</v>
      </c>
      <c r="B28" t="s">
        <v>92</v>
      </c>
      <c r="C28" s="3">
        <v>-0.32317307198736805</v>
      </c>
      <c r="D28" s="3">
        <v>-0.81067362021379519</v>
      </c>
      <c r="E28" s="3">
        <v>-0.54700938293531265</v>
      </c>
      <c r="F28" s="2">
        <v>-9.8730649124245146E-2</v>
      </c>
      <c r="G28" s="1">
        <v>-0.14897784792913099</v>
      </c>
      <c r="H28" s="1">
        <v>-2.9500916541857793</v>
      </c>
      <c r="I28" s="2">
        <v>2.2000000000000002</v>
      </c>
      <c r="J28" s="2">
        <v>52.6</v>
      </c>
      <c r="K28" s="2">
        <v>16.8</v>
      </c>
      <c r="L28" s="2">
        <v>16166.666666666666</v>
      </c>
      <c r="M28" s="2">
        <v>15333.333333333334</v>
      </c>
      <c r="N28" s="2">
        <v>8666.6666666666661</v>
      </c>
      <c r="O28" s="2">
        <v>2116.6666666666665</v>
      </c>
      <c r="P28" s="2">
        <v>8666.6666666666661</v>
      </c>
      <c r="Q28" s="1">
        <v>10.532999999999999</v>
      </c>
    </row>
    <row r="29" spans="1:17" x14ac:dyDescent="0.25">
      <c r="A29" t="s">
        <v>97</v>
      </c>
      <c r="B29" t="s">
        <v>95</v>
      </c>
      <c r="C29" s="3">
        <v>-0.77078537134663483</v>
      </c>
      <c r="D29" s="3">
        <v>0.33487136643945087</v>
      </c>
      <c r="E29" s="3">
        <v>1.1081627470456343</v>
      </c>
      <c r="F29" s="2">
        <v>-0.1319484809801259</v>
      </c>
      <c r="G29" s="1">
        <v>-0.22679275813427779</v>
      </c>
      <c r="H29" s="1">
        <v>1.4850801524472643</v>
      </c>
      <c r="I29" s="2">
        <v>1.5</v>
      </c>
      <c r="J29" s="2">
        <v>52.6</v>
      </c>
      <c r="K29" s="2">
        <v>18</v>
      </c>
      <c r="L29" s="2">
        <v>14333.333333333334</v>
      </c>
      <c r="M29" s="2">
        <v>9333.3333333333339</v>
      </c>
      <c r="N29" s="2">
        <v>2166.6666666666665</v>
      </c>
      <c r="O29" s="2">
        <v>533.33333333333337</v>
      </c>
      <c r="P29" s="2">
        <v>2166.6666666666665</v>
      </c>
      <c r="Q29" s="2">
        <v>3.1</v>
      </c>
    </row>
    <row r="30" spans="1:17" x14ac:dyDescent="0.25">
      <c r="A30" t="s">
        <v>97</v>
      </c>
      <c r="B30" t="s">
        <v>95</v>
      </c>
      <c r="C30" s="3">
        <v>-0.53648804933798389</v>
      </c>
      <c r="D30" s="3">
        <v>0.34444078937275113</v>
      </c>
      <c r="E30" s="3">
        <v>1.1081627470456343</v>
      </c>
      <c r="F30" s="2">
        <v>-0.14918414845251582</v>
      </c>
      <c r="G30" s="1">
        <v>-0.25947737183149694</v>
      </c>
      <c r="H30" s="1">
        <v>1.4850801524472643</v>
      </c>
      <c r="I30" s="2">
        <v>1.65</v>
      </c>
      <c r="J30" s="2">
        <v>52.6</v>
      </c>
      <c r="K30" s="2">
        <v>18</v>
      </c>
      <c r="L30" s="2">
        <v>14333.333333333334</v>
      </c>
      <c r="M30" s="2">
        <v>9333.3333333333339</v>
      </c>
      <c r="N30" s="2">
        <v>2166.6666666666665</v>
      </c>
      <c r="O30" s="2">
        <v>533.33333333333337</v>
      </c>
      <c r="P30" s="2">
        <v>2166.6666666666665</v>
      </c>
      <c r="Q30" s="2">
        <v>4</v>
      </c>
    </row>
    <row r="31" spans="1:17" x14ac:dyDescent="0.25">
      <c r="A31" t="s">
        <v>97</v>
      </c>
      <c r="B31" t="s">
        <v>95</v>
      </c>
      <c r="C31" s="3">
        <v>-0.33978713451165282</v>
      </c>
      <c r="D31" s="3">
        <v>0.28277117491370368</v>
      </c>
      <c r="E31" s="3">
        <v>1.1081627470456343</v>
      </c>
      <c r="F31" s="2">
        <v>-0.22408095801435846</v>
      </c>
      <c r="G31" s="1">
        <v>-0.29543044689843773</v>
      </c>
      <c r="H31" s="1">
        <v>1.4850801524472643</v>
      </c>
      <c r="I31" s="2">
        <v>1.75</v>
      </c>
      <c r="J31" s="2">
        <v>52.6</v>
      </c>
      <c r="K31" s="2">
        <v>18</v>
      </c>
      <c r="L31" s="2">
        <v>14333.333333333334</v>
      </c>
      <c r="M31" s="2">
        <v>9333.3333333333339</v>
      </c>
      <c r="N31" s="2">
        <v>2166.6666666666665</v>
      </c>
      <c r="O31" s="2">
        <v>533.33333333333337</v>
      </c>
      <c r="P31" s="2">
        <v>2166.6666666666665</v>
      </c>
      <c r="Q31" s="2">
        <v>8.9</v>
      </c>
    </row>
    <row r="32" spans="1:17" x14ac:dyDescent="0.25">
      <c r="A32" t="s">
        <v>97</v>
      </c>
      <c r="B32" t="s">
        <v>95</v>
      </c>
      <c r="C32" s="3">
        <v>-0.6364885501644244</v>
      </c>
      <c r="D32" s="3">
        <v>1.2137696994023539</v>
      </c>
      <c r="E32" s="3">
        <v>1.7202014635292279E-2</v>
      </c>
      <c r="F32" s="2">
        <v>-0.19525038696963212</v>
      </c>
      <c r="G32" s="1">
        <v>-0.145700988662776</v>
      </c>
      <c r="H32" s="1">
        <v>-0.42813121511993141</v>
      </c>
      <c r="I32" s="2">
        <v>1.6</v>
      </c>
      <c r="J32" s="2">
        <v>52.2</v>
      </c>
      <c r="K32" s="2">
        <v>17.8</v>
      </c>
      <c r="L32" s="2">
        <v>13333.333333333334</v>
      </c>
      <c r="M32" s="2">
        <v>11333.333333333334</v>
      </c>
      <c r="N32" s="2">
        <v>4000</v>
      </c>
      <c r="O32" s="2">
        <v>800</v>
      </c>
      <c r="P32" s="2">
        <v>4000</v>
      </c>
      <c r="Q32" s="2">
        <v>12.2</v>
      </c>
    </row>
    <row r="33" spans="1:17" x14ac:dyDescent="0.25">
      <c r="A33" t="s">
        <v>97</v>
      </c>
      <c r="B33" t="s">
        <v>95</v>
      </c>
      <c r="C33" s="3">
        <v>-0.25924229026553075</v>
      </c>
      <c r="D33" s="3">
        <v>1.3483795819974462</v>
      </c>
      <c r="E33" s="3">
        <v>1.7202014635292279E-2</v>
      </c>
      <c r="F33" s="2">
        <v>-0.18177522876394481</v>
      </c>
      <c r="G33" s="1">
        <v>-8.0340159164971128E-2</v>
      </c>
      <c r="H33" s="1">
        <v>-0.42813121511993141</v>
      </c>
      <c r="I33" s="2">
        <v>1.7</v>
      </c>
      <c r="J33" s="2">
        <v>52.2</v>
      </c>
      <c r="K33" s="2">
        <v>17.8</v>
      </c>
      <c r="L33" s="2">
        <v>13333.333333333334</v>
      </c>
      <c r="M33" s="2">
        <v>11333.333333333334</v>
      </c>
      <c r="N33" s="2">
        <v>4000</v>
      </c>
      <c r="O33" s="2">
        <v>800</v>
      </c>
      <c r="P33" s="2">
        <v>4000</v>
      </c>
      <c r="Q33" s="2">
        <v>7.4</v>
      </c>
    </row>
    <row r="34" spans="1:17" x14ac:dyDescent="0.25">
      <c r="A34" t="s">
        <v>97</v>
      </c>
      <c r="B34" t="s">
        <v>95</v>
      </c>
      <c r="C34" s="3">
        <v>-0.12697309477819671</v>
      </c>
      <c r="D34" s="3">
        <v>0.97113166458244782</v>
      </c>
      <c r="E34" s="3">
        <v>1.7202014635292279E-2</v>
      </c>
      <c r="F34" s="2">
        <v>-0.16547968860822987</v>
      </c>
      <c r="G34" s="1">
        <v>-0.1177326337148777</v>
      </c>
      <c r="H34" s="1">
        <v>-0.42813121511993141</v>
      </c>
      <c r="I34" s="2">
        <v>1.7</v>
      </c>
      <c r="J34" s="2">
        <v>52.2</v>
      </c>
      <c r="K34" s="2">
        <v>17.8</v>
      </c>
      <c r="L34" s="2">
        <v>13333.333333333334</v>
      </c>
      <c r="M34" s="2">
        <v>11333.333333333334</v>
      </c>
      <c r="N34" s="2">
        <v>4000</v>
      </c>
      <c r="O34" s="2">
        <v>800</v>
      </c>
      <c r="P34" s="2">
        <v>4000</v>
      </c>
      <c r="Q34" s="2">
        <v>9.8000000000000007</v>
      </c>
    </row>
    <row r="35" spans="1:17" x14ac:dyDescent="0.25">
      <c r="A35" t="s">
        <v>97</v>
      </c>
      <c r="B35" t="s">
        <v>95</v>
      </c>
      <c r="C35" s="3">
        <v>-0.81434130027802532</v>
      </c>
      <c r="D35" s="3">
        <v>1.1469963927122129</v>
      </c>
      <c r="E35" s="3">
        <v>-0.70002732893193964</v>
      </c>
      <c r="F35" s="2">
        <v>-0.32843509016537648</v>
      </c>
      <c r="G35" s="1">
        <v>-0.61865205168365112</v>
      </c>
      <c r="H35" s="1">
        <v>-1.2108085927610563</v>
      </c>
      <c r="I35" s="2">
        <v>1.6</v>
      </c>
      <c r="J35" s="2">
        <v>51.4</v>
      </c>
      <c r="K35" s="2">
        <v>19.2</v>
      </c>
      <c r="L35" s="2">
        <v>14833.333333333334</v>
      </c>
      <c r="M35" s="2">
        <v>14000</v>
      </c>
      <c r="N35" s="2">
        <v>4500</v>
      </c>
      <c r="O35" s="2">
        <v>950</v>
      </c>
      <c r="P35" s="2">
        <v>4500</v>
      </c>
      <c r="Q35" s="1">
        <v>10.532999999999999</v>
      </c>
    </row>
    <row r="36" spans="1:17" x14ac:dyDescent="0.25">
      <c r="A36" t="s">
        <v>97</v>
      </c>
      <c r="B36" t="s">
        <v>95</v>
      </c>
      <c r="C36" s="3">
        <v>-0.61024746586075918</v>
      </c>
      <c r="D36" s="3">
        <v>0.82248662835184772</v>
      </c>
      <c r="E36" s="3">
        <v>-0.70002732893193964</v>
      </c>
      <c r="F36" s="2">
        <v>-0.14354338455246149</v>
      </c>
      <c r="G36" s="1">
        <v>-0.22714211063422782</v>
      </c>
      <c r="H36" s="1">
        <v>-1.2108085927610563</v>
      </c>
      <c r="I36" s="2">
        <v>1.75</v>
      </c>
      <c r="J36" s="2">
        <v>51.4</v>
      </c>
      <c r="K36" s="2">
        <v>19.2</v>
      </c>
      <c r="L36" s="2">
        <v>14833.333333333334</v>
      </c>
      <c r="M36" s="2">
        <v>14000</v>
      </c>
      <c r="N36" s="2">
        <v>4500</v>
      </c>
      <c r="O36" s="2">
        <v>950</v>
      </c>
      <c r="P36" s="2">
        <v>4500</v>
      </c>
      <c r="Q36" s="1">
        <v>10.532999999999999</v>
      </c>
    </row>
    <row r="37" spans="1:17" x14ac:dyDescent="0.25">
      <c r="A37" t="s">
        <v>97</v>
      </c>
      <c r="B37" t="s">
        <v>95</v>
      </c>
      <c r="C37" s="3">
        <v>-0.85078727526277242</v>
      </c>
      <c r="D37" s="3">
        <v>-0.21207431765940921</v>
      </c>
      <c r="E37" s="3">
        <v>-0.70002732893193964</v>
      </c>
      <c r="F37" s="2">
        <v>-0.28926311863721638</v>
      </c>
      <c r="G37" s="1">
        <v>-0.45600158968782845</v>
      </c>
      <c r="H37" s="1">
        <v>-1.2108085927610563</v>
      </c>
      <c r="I37" s="2">
        <v>1.6</v>
      </c>
      <c r="J37" s="2">
        <v>51.4</v>
      </c>
      <c r="K37" s="2">
        <v>19.2</v>
      </c>
      <c r="L37" s="2">
        <v>14833.333333333334</v>
      </c>
      <c r="M37" s="2">
        <v>14000</v>
      </c>
      <c r="N37" s="2">
        <v>4500</v>
      </c>
      <c r="O37" s="2">
        <v>950</v>
      </c>
      <c r="P37" s="2">
        <v>4500</v>
      </c>
      <c r="Q37" s="1">
        <v>10.532999999999999</v>
      </c>
    </row>
    <row r="38" spans="1:17" x14ac:dyDescent="0.25">
      <c r="A38" t="s">
        <v>96</v>
      </c>
      <c r="B38" t="s">
        <v>93</v>
      </c>
      <c r="C38" s="3">
        <v>0.50391782092396087</v>
      </c>
      <c r="D38" s="3">
        <v>0.95346661617449691</v>
      </c>
      <c r="E38" s="3">
        <v>0.53902798724156731</v>
      </c>
      <c r="F38" s="2">
        <v>-0.29016994054644496</v>
      </c>
      <c r="G38" s="1">
        <v>-0.26745125537185593</v>
      </c>
      <c r="H38" s="1">
        <v>0.2675820094499583</v>
      </c>
      <c r="I38" s="2">
        <v>2.1</v>
      </c>
      <c r="J38" s="2">
        <v>52.2</v>
      </c>
      <c r="K38" s="2">
        <v>24.2</v>
      </c>
      <c r="L38" s="2">
        <v>12500</v>
      </c>
      <c r="M38" s="2">
        <v>13333.333333333334</v>
      </c>
      <c r="N38" s="2">
        <v>10500</v>
      </c>
      <c r="O38" s="2">
        <v>2833.3333333333335</v>
      </c>
      <c r="P38" s="2">
        <v>10500</v>
      </c>
      <c r="Q38" s="2">
        <v>5.4</v>
      </c>
    </row>
    <row r="39" spans="1:17" x14ac:dyDescent="0.25">
      <c r="A39" t="s">
        <v>96</v>
      </c>
      <c r="B39" t="s">
        <v>93</v>
      </c>
      <c r="C39" s="3">
        <v>0.81932591846731673</v>
      </c>
      <c r="D39" s="3">
        <v>1.0980271887779365</v>
      </c>
      <c r="E39" s="3">
        <v>0.53902798724156731</v>
      </c>
      <c r="F39" s="2">
        <v>-0.26597658763400606</v>
      </c>
      <c r="G39" s="1">
        <v>-0.23209386163884366</v>
      </c>
      <c r="H39" s="1">
        <v>0.2675820094499583</v>
      </c>
      <c r="I39" s="2">
        <v>2.15</v>
      </c>
      <c r="J39" s="2">
        <v>52.2</v>
      </c>
      <c r="K39" s="2">
        <v>24.2</v>
      </c>
      <c r="L39" s="2">
        <v>12500</v>
      </c>
      <c r="M39" s="2">
        <v>13333.333333333334</v>
      </c>
      <c r="N39" s="2">
        <v>10500</v>
      </c>
      <c r="O39" s="2">
        <v>2833.3333333333335</v>
      </c>
      <c r="P39" s="2">
        <v>10500</v>
      </c>
      <c r="Q39" s="2">
        <v>4.2</v>
      </c>
    </row>
    <row r="40" spans="1:17" x14ac:dyDescent="0.25">
      <c r="A40" t="s">
        <v>96</v>
      </c>
      <c r="B40" t="s">
        <v>93</v>
      </c>
      <c r="C40" s="3">
        <v>1.7739282048375091</v>
      </c>
      <c r="D40" s="3">
        <v>0.89041360340544318</v>
      </c>
      <c r="E40" s="3">
        <v>0.53902798724156731</v>
      </c>
      <c r="F40" s="2">
        <v>-9.0574779018825838E-2</v>
      </c>
      <c r="G40" s="1">
        <v>-0.25712212911277355</v>
      </c>
      <c r="H40" s="1">
        <v>0.2675820094499583</v>
      </c>
      <c r="I40" s="2">
        <v>2.1</v>
      </c>
      <c r="J40" s="2">
        <v>52.2</v>
      </c>
      <c r="K40" s="2">
        <v>24.2</v>
      </c>
      <c r="L40" s="2">
        <v>12500</v>
      </c>
      <c r="M40" s="2">
        <v>13333.333333333334</v>
      </c>
      <c r="N40" s="2">
        <v>10500</v>
      </c>
      <c r="O40" s="2">
        <v>2833.3333333333335</v>
      </c>
      <c r="P40" s="2">
        <v>10500</v>
      </c>
      <c r="Q40" s="2">
        <v>38.5</v>
      </c>
    </row>
    <row r="41" spans="1:17" x14ac:dyDescent="0.25">
      <c r="A41" t="s">
        <v>96</v>
      </c>
      <c r="B41" t="s">
        <v>93</v>
      </c>
      <c r="C41" s="3">
        <v>-0.60450268850767652</v>
      </c>
      <c r="D41" s="3">
        <v>0.80312026413866144</v>
      </c>
      <c r="E41" s="3">
        <v>-1.1693806211008815</v>
      </c>
      <c r="F41" s="2">
        <v>-0.56385724536840609</v>
      </c>
      <c r="G41" s="1">
        <v>0.55575527784656575</v>
      </c>
      <c r="H41" s="1">
        <v>1.311151846304792</v>
      </c>
      <c r="I41" s="2">
        <v>2.2999999999999998</v>
      </c>
      <c r="J41" s="2">
        <v>48</v>
      </c>
      <c r="K41" s="2">
        <v>22</v>
      </c>
      <c r="L41" s="2">
        <v>13333.333333333334</v>
      </c>
      <c r="M41" s="2">
        <v>13666.666666666666</v>
      </c>
      <c r="N41" s="2">
        <v>11000</v>
      </c>
      <c r="O41" s="2">
        <v>2916.6666666666665</v>
      </c>
      <c r="P41" s="2">
        <v>11000</v>
      </c>
      <c r="Q41" s="2">
        <v>8.4</v>
      </c>
    </row>
    <row r="42" spans="1:17" x14ac:dyDescent="0.25">
      <c r="A42" t="s">
        <v>96</v>
      </c>
      <c r="B42" t="s">
        <v>93</v>
      </c>
      <c r="C42" s="3">
        <v>-0.59854727860312429</v>
      </c>
      <c r="D42" s="3">
        <v>0.57307429271053656</v>
      </c>
      <c r="E42" s="3">
        <v>-1.1693806211008815</v>
      </c>
      <c r="F42" s="2">
        <v>-0.26144033396292365</v>
      </c>
      <c r="G42" s="1">
        <v>-6.0289372146834302E-2</v>
      </c>
      <c r="H42" s="1">
        <v>1.311151846304792</v>
      </c>
      <c r="I42" s="2">
        <v>2.2000000000000002</v>
      </c>
      <c r="J42" s="2">
        <v>48</v>
      </c>
      <c r="K42" s="2">
        <v>22</v>
      </c>
      <c r="L42" s="2">
        <v>13333.333333333334</v>
      </c>
      <c r="M42" s="2">
        <v>13666.666666666666</v>
      </c>
      <c r="N42" s="2">
        <v>11000</v>
      </c>
      <c r="O42" s="2">
        <v>2916.6666666666665</v>
      </c>
      <c r="P42" s="2">
        <v>11000</v>
      </c>
      <c r="Q42" s="2">
        <v>9.1</v>
      </c>
    </row>
    <row r="43" spans="1:17" x14ac:dyDescent="0.25">
      <c r="A43" t="s">
        <v>96</v>
      </c>
      <c r="B43" t="s">
        <v>93</v>
      </c>
      <c r="C43" s="3">
        <v>0.41644518186470791</v>
      </c>
      <c r="D43" s="3">
        <v>0.8555694206207094</v>
      </c>
      <c r="E43" s="3">
        <v>-1.1693806211008815</v>
      </c>
      <c r="F43" s="2">
        <v>-0.22938414135394239</v>
      </c>
      <c r="G43" s="1">
        <v>-0.13148419913451426</v>
      </c>
      <c r="H43" s="1">
        <v>1.311151846304792</v>
      </c>
      <c r="I43" s="2">
        <v>2.1</v>
      </c>
      <c r="J43" s="2">
        <v>48</v>
      </c>
      <c r="K43" s="2">
        <v>22</v>
      </c>
      <c r="L43" s="2">
        <v>13333.333333333334</v>
      </c>
      <c r="M43" s="2">
        <v>13666.666666666666</v>
      </c>
      <c r="N43" s="2">
        <v>11000</v>
      </c>
      <c r="O43" s="2">
        <v>2916.6666666666665</v>
      </c>
      <c r="P43" s="2">
        <v>11000</v>
      </c>
      <c r="Q43" s="2">
        <v>38.5</v>
      </c>
    </row>
    <row r="44" spans="1:17" x14ac:dyDescent="0.25">
      <c r="A44" t="s">
        <v>96</v>
      </c>
      <c r="B44" t="s">
        <v>93</v>
      </c>
      <c r="C44" s="3">
        <v>-0.31747131425489405</v>
      </c>
      <c r="D44" s="3">
        <v>0.98251751284617861</v>
      </c>
      <c r="E44" s="3">
        <v>-1.2226737640624252</v>
      </c>
      <c r="F44" s="2">
        <v>-0.34248806621959316</v>
      </c>
      <c r="G44" s="1">
        <v>0.14176422844429046</v>
      </c>
      <c r="H44" s="1">
        <v>0.1806178563787221</v>
      </c>
      <c r="I44" s="2">
        <v>2.1</v>
      </c>
      <c r="J44" s="2">
        <v>52.02</v>
      </c>
      <c r="K44" s="2">
        <v>22</v>
      </c>
      <c r="L44" s="2">
        <v>14166.666666666666</v>
      </c>
      <c r="M44" s="2">
        <v>14333.333333333334</v>
      </c>
      <c r="N44" s="2">
        <v>8500</v>
      </c>
      <c r="O44" s="2">
        <v>2083.3333333333335</v>
      </c>
      <c r="P44" s="2">
        <v>8500</v>
      </c>
      <c r="Q44" s="1">
        <v>10.532999999999999</v>
      </c>
    </row>
    <row r="45" spans="1:17" x14ac:dyDescent="0.25">
      <c r="A45" t="s">
        <v>96</v>
      </c>
      <c r="B45" t="s">
        <v>93</v>
      </c>
      <c r="C45" s="3">
        <v>-0.66219288401157406</v>
      </c>
      <c r="D45" s="3">
        <v>1.039569051389921</v>
      </c>
      <c r="E45" s="3">
        <v>-1.2226737640624252</v>
      </c>
      <c r="F45" s="2">
        <v>-0.34430256768802614</v>
      </c>
      <c r="G45" s="1">
        <v>4.6031105356508117E-2</v>
      </c>
      <c r="H45" s="1">
        <v>0.1806178563787221</v>
      </c>
      <c r="I45" s="2">
        <v>2.08</v>
      </c>
      <c r="J45" s="2">
        <v>52.02</v>
      </c>
      <c r="K45" s="2">
        <v>22</v>
      </c>
      <c r="L45" s="2">
        <v>14166.666666666666</v>
      </c>
      <c r="M45" s="2">
        <v>14333.333333333334</v>
      </c>
      <c r="N45" s="2">
        <v>8500</v>
      </c>
      <c r="O45" s="2">
        <v>2083.3333333333335</v>
      </c>
      <c r="P45" s="2">
        <v>8500</v>
      </c>
      <c r="Q45" s="1">
        <v>10.532999999999999</v>
      </c>
    </row>
    <row r="46" spans="1:17" x14ac:dyDescent="0.25">
      <c r="A46" t="s">
        <v>96</v>
      </c>
      <c r="B46" t="s">
        <v>93</v>
      </c>
      <c r="C46" s="3">
        <v>-1.3839008852257251E-2</v>
      </c>
      <c r="D46" s="3">
        <v>0.9801544395470293</v>
      </c>
      <c r="E46" s="3">
        <v>-1.2226737640624252</v>
      </c>
      <c r="F46" s="2">
        <v>-0.226662389151293</v>
      </c>
      <c r="G46" s="1">
        <v>8.227574455023702E-2</v>
      </c>
      <c r="H46" s="1">
        <v>0.1806178563787221</v>
      </c>
      <c r="I46" s="2">
        <v>2</v>
      </c>
      <c r="J46" s="2">
        <v>52.02</v>
      </c>
      <c r="K46" s="2">
        <v>22</v>
      </c>
      <c r="L46" s="2">
        <v>14166.666666666666</v>
      </c>
      <c r="M46" s="2">
        <v>14333.333333333334</v>
      </c>
      <c r="N46" s="2">
        <v>8500</v>
      </c>
      <c r="O46" s="2">
        <v>2083.3333333333335</v>
      </c>
      <c r="P46" s="2">
        <v>8500</v>
      </c>
      <c r="Q46" s="1">
        <v>10.532999999999999</v>
      </c>
    </row>
    <row r="47" spans="1:17" x14ac:dyDescent="0.25">
      <c r="A47" t="s">
        <v>96</v>
      </c>
      <c r="B47" t="s">
        <v>94</v>
      </c>
      <c r="C47" s="3">
        <v>1.240251758522712E-2</v>
      </c>
      <c r="D47" s="3">
        <v>1.5459923973815752</v>
      </c>
      <c r="E47" s="3">
        <v>0.87966848928096253</v>
      </c>
      <c r="F47" s="2">
        <v>-0.2783756810016299</v>
      </c>
      <c r="G47" s="1">
        <v>-0.12199928031006846</v>
      </c>
      <c r="H47" s="1">
        <v>-1.4717010519747651</v>
      </c>
      <c r="I47" s="2">
        <v>2.1</v>
      </c>
      <c r="J47" s="2">
        <v>51.6</v>
      </c>
      <c r="K47" s="2">
        <v>22.8</v>
      </c>
      <c r="L47" s="2">
        <v>12000</v>
      </c>
      <c r="M47" s="2">
        <v>11333.333333333334</v>
      </c>
      <c r="N47" s="2">
        <v>8833.3333333333339</v>
      </c>
      <c r="O47" s="2">
        <v>2300</v>
      </c>
      <c r="P47" s="2">
        <v>8833.3333333333339</v>
      </c>
      <c r="Q47" s="2">
        <v>5.4</v>
      </c>
    </row>
    <row r="48" spans="1:17" x14ac:dyDescent="0.25">
      <c r="A48" t="s">
        <v>96</v>
      </c>
      <c r="B48" t="s">
        <v>94</v>
      </c>
      <c r="C48" s="3">
        <v>2.1586407785413257</v>
      </c>
      <c r="D48" s="3">
        <v>1.1699230075642735</v>
      </c>
      <c r="E48" s="3">
        <v>0.87966848928096253</v>
      </c>
      <c r="F48" s="2">
        <v>7.2125519317323555E-2</v>
      </c>
      <c r="G48" s="1">
        <v>-0.16856311391070741</v>
      </c>
      <c r="H48" s="1">
        <v>-1.4717010519747651</v>
      </c>
      <c r="I48" s="2">
        <v>2.1</v>
      </c>
      <c r="J48" s="2">
        <v>51.6</v>
      </c>
      <c r="K48" s="2">
        <v>22.8</v>
      </c>
      <c r="L48" s="2">
        <v>12000</v>
      </c>
      <c r="M48" s="2">
        <v>11333.333333333334</v>
      </c>
      <c r="N48" s="2">
        <v>8833.3333333333339</v>
      </c>
      <c r="O48" s="2">
        <v>2300</v>
      </c>
      <c r="P48" s="2">
        <v>8833.3333333333339</v>
      </c>
      <c r="Q48" s="2">
        <v>6.4</v>
      </c>
    </row>
    <row r="49" spans="1:17" x14ac:dyDescent="0.25">
      <c r="A49" t="s">
        <v>96</v>
      </c>
      <c r="B49" t="s">
        <v>94</v>
      </c>
      <c r="C49" s="3">
        <v>2.3616164565298217</v>
      </c>
      <c r="D49" s="3">
        <v>1.6571547482708879</v>
      </c>
      <c r="E49" s="3">
        <v>0.87966848928096253</v>
      </c>
      <c r="F49" s="2">
        <v>-9.5111032689908254E-2</v>
      </c>
      <c r="G49" s="1">
        <v>9.5315486236936097E-3</v>
      </c>
      <c r="H49" s="1">
        <v>-1.4717010519747651</v>
      </c>
      <c r="I49" s="2">
        <v>2</v>
      </c>
      <c r="J49" s="2">
        <v>51.6</v>
      </c>
      <c r="K49" s="2">
        <v>22.8</v>
      </c>
      <c r="L49" s="2">
        <v>12000</v>
      </c>
      <c r="M49" s="2">
        <v>11333.333333333334</v>
      </c>
      <c r="N49" s="2">
        <v>8833.3333333333339</v>
      </c>
      <c r="O49" s="2">
        <v>2300</v>
      </c>
      <c r="P49" s="2">
        <v>8833.3333333333339</v>
      </c>
      <c r="Q49" s="2">
        <v>32.700000000000003</v>
      </c>
    </row>
    <row r="50" spans="1:17" x14ac:dyDescent="0.25">
      <c r="A50" t="s">
        <v>96</v>
      </c>
      <c r="B50" t="s">
        <v>94</v>
      </c>
      <c r="C50" s="3">
        <v>0.59376383432470869</v>
      </c>
      <c r="D50" s="3">
        <v>1.0574215754258274</v>
      </c>
      <c r="E50" s="3">
        <v>-0.11347722844881734</v>
      </c>
      <c r="F50" s="2">
        <v>-0.20246903623885493</v>
      </c>
      <c r="G50" s="1">
        <v>-0.29067523636783743</v>
      </c>
      <c r="H50" s="1">
        <v>1.3981159993760282</v>
      </c>
      <c r="I50" s="2">
        <v>2.2000000000000002</v>
      </c>
      <c r="J50" s="2">
        <v>51.8</v>
      </c>
      <c r="K50" s="2">
        <v>25.6</v>
      </c>
      <c r="L50" s="2">
        <v>13666.666666666666</v>
      </c>
      <c r="M50" s="2">
        <v>13000</v>
      </c>
      <c r="N50" s="2">
        <v>10666.666666666666</v>
      </c>
      <c r="O50" s="2">
        <v>2733.3333333333335</v>
      </c>
      <c r="P50" s="2">
        <v>10666.666666666666</v>
      </c>
      <c r="Q50" s="2">
        <v>5.0999999999999996</v>
      </c>
    </row>
    <row r="51" spans="1:17" x14ac:dyDescent="0.25">
      <c r="A51" t="s">
        <v>96</v>
      </c>
      <c r="B51" t="s">
        <v>94</v>
      </c>
      <c r="C51" s="3">
        <v>0.41751912491155818</v>
      </c>
      <c r="D51" s="3">
        <v>1.4133316361149222</v>
      </c>
      <c r="E51" s="3">
        <v>-0.11347722844881734</v>
      </c>
      <c r="F51" s="2">
        <v>-0.3125487919904501</v>
      </c>
      <c r="G51" s="1">
        <v>-0.12420084087490438</v>
      </c>
      <c r="H51" s="1">
        <v>1.3981159993760282</v>
      </c>
      <c r="I51" s="2">
        <v>2.25</v>
      </c>
      <c r="J51" s="2">
        <v>51.8</v>
      </c>
      <c r="K51" s="2">
        <v>25.6</v>
      </c>
      <c r="L51" s="2">
        <v>13666.666666666666</v>
      </c>
      <c r="M51" s="2">
        <v>13000</v>
      </c>
      <c r="N51" s="2">
        <v>10666.666666666666</v>
      </c>
      <c r="O51" s="2">
        <v>2733.3333333333335</v>
      </c>
      <c r="P51" s="2">
        <v>10666.666666666666</v>
      </c>
      <c r="Q51" s="2">
        <v>19.399999999999999</v>
      </c>
    </row>
    <row r="52" spans="1:17" x14ac:dyDescent="0.25">
      <c r="A52" t="s">
        <v>96</v>
      </c>
      <c r="B52" t="s">
        <v>94</v>
      </c>
      <c r="C52" s="3">
        <v>0.60924868707474278</v>
      </c>
      <c r="D52" s="3">
        <v>1.4846704294250026</v>
      </c>
      <c r="E52" s="3">
        <v>-0.11347722844881734</v>
      </c>
      <c r="F52" s="2">
        <v>-0.36607658530921994</v>
      </c>
      <c r="G52" s="1">
        <v>-5.0877286904984283E-2</v>
      </c>
      <c r="H52" s="1">
        <v>1.3981159993760282</v>
      </c>
      <c r="I52" s="2">
        <v>2.1</v>
      </c>
      <c r="J52" s="2">
        <v>51.8</v>
      </c>
      <c r="K52" s="2">
        <v>25.6</v>
      </c>
      <c r="L52" s="2">
        <v>13666.666666666666</v>
      </c>
      <c r="M52" s="2">
        <v>13000</v>
      </c>
      <c r="N52" s="2">
        <v>10666.666666666666</v>
      </c>
      <c r="O52" s="2">
        <v>2733.3333333333335</v>
      </c>
      <c r="P52" s="2">
        <v>10666.666666666666</v>
      </c>
      <c r="Q52" s="2">
        <v>35.799999999999997</v>
      </c>
    </row>
    <row r="53" spans="1:17" x14ac:dyDescent="0.25">
      <c r="A53" t="s">
        <v>96</v>
      </c>
      <c r="B53" t="s">
        <v>94</v>
      </c>
      <c r="C53" s="3">
        <v>-0.23237470234005148</v>
      </c>
      <c r="D53" s="3">
        <v>1.7475594897102027</v>
      </c>
      <c r="E53" s="3">
        <v>-1.729206383050224</v>
      </c>
      <c r="F53" s="2">
        <v>4.5176541169779165</v>
      </c>
      <c r="G53" s="1">
        <v>4.9309447285938335</v>
      </c>
      <c r="H53" s="1">
        <v>1.6590084585897358</v>
      </c>
      <c r="I53" s="2">
        <v>2.2999999999999998</v>
      </c>
      <c r="J53" s="2">
        <v>54.8</v>
      </c>
      <c r="K53" s="2">
        <v>22</v>
      </c>
      <c r="L53" s="2">
        <v>15833.333333333334</v>
      </c>
      <c r="M53" s="2">
        <v>16000</v>
      </c>
      <c r="N53" s="2">
        <v>9833.3333333333339</v>
      </c>
      <c r="O53" s="2">
        <v>2566.6666666666665</v>
      </c>
      <c r="P53" s="2">
        <v>9833.3333333333339</v>
      </c>
      <c r="Q53" s="1">
        <v>10.532999999999999</v>
      </c>
    </row>
    <row r="54" spans="1:17" x14ac:dyDescent="0.25">
      <c r="A54" t="s">
        <v>96</v>
      </c>
      <c r="B54" t="s">
        <v>94</v>
      </c>
      <c r="C54" s="3">
        <v>-0.30840933949645827</v>
      </c>
      <c r="D54" s="3">
        <v>1.5840867815021435</v>
      </c>
      <c r="E54" s="3">
        <v>-1.729206383050224</v>
      </c>
      <c r="F54" s="2">
        <v>4.3464861451224133</v>
      </c>
      <c r="G54" s="1">
        <v>4.7036129089157788</v>
      </c>
      <c r="H54" s="1">
        <v>1.6590084585897358</v>
      </c>
      <c r="I54" s="2">
        <v>2.4</v>
      </c>
      <c r="J54" s="2">
        <v>54.8</v>
      </c>
      <c r="K54" s="2">
        <v>22</v>
      </c>
      <c r="L54" s="2">
        <v>15833.333333333334</v>
      </c>
      <c r="M54" s="2">
        <v>16000</v>
      </c>
      <c r="N54" s="2">
        <v>9833.3333333333339</v>
      </c>
      <c r="O54" s="2">
        <v>2566.6666666666665</v>
      </c>
      <c r="P54" s="2">
        <v>9833.3333333333339</v>
      </c>
      <c r="Q54" s="1">
        <v>10.532999999999999</v>
      </c>
    </row>
    <row r="55" spans="1:17" x14ac:dyDescent="0.25">
      <c r="A55" t="s">
        <v>96</v>
      </c>
      <c r="B55" t="s">
        <v>94</v>
      </c>
      <c r="C55" s="3">
        <v>-0.84912087289818694</v>
      </c>
      <c r="D55" s="3">
        <v>1.8604885261960769</v>
      </c>
      <c r="E55" s="3">
        <v>-1.729206383050224</v>
      </c>
      <c r="F55" s="2">
        <v>4.6358991293374601</v>
      </c>
      <c r="G55" s="1">
        <v>5.6843336516591174</v>
      </c>
      <c r="H55" s="1">
        <v>1.6590084585897358</v>
      </c>
      <c r="I55" s="2">
        <v>2.2999999999999998</v>
      </c>
      <c r="J55" s="2">
        <v>54.8</v>
      </c>
      <c r="K55" s="2">
        <v>22</v>
      </c>
      <c r="L55" s="2">
        <v>15833.333333333334</v>
      </c>
      <c r="M55" s="2">
        <v>16000</v>
      </c>
      <c r="N55" s="2">
        <v>9833.3333333333339</v>
      </c>
      <c r="O55" s="2">
        <v>2566.6666666666665</v>
      </c>
      <c r="P55" s="2">
        <v>9833.3333333333339</v>
      </c>
      <c r="Q55" s="1">
        <v>10.532999999999999</v>
      </c>
    </row>
    <row r="56" spans="1:17" x14ac:dyDescent="0.25">
      <c r="A56" t="s">
        <v>96</v>
      </c>
      <c r="B56" t="s">
        <v>92</v>
      </c>
      <c r="C56" s="3">
        <v>-0.10737816604482862</v>
      </c>
      <c r="D56" s="3">
        <v>-8.2489487904282857E-2</v>
      </c>
      <c r="E56" s="3">
        <v>0.78592804200963085</v>
      </c>
      <c r="F56" s="2">
        <v>-0.17676359876938819</v>
      </c>
      <c r="G56" s="1">
        <v>-0.11464474377655816</v>
      </c>
      <c r="H56" s="1">
        <v>-0.16723875590622275</v>
      </c>
      <c r="I56" s="2">
        <v>1.9</v>
      </c>
      <c r="J56" s="2">
        <v>51.2</v>
      </c>
      <c r="K56" s="2">
        <v>23.4</v>
      </c>
      <c r="L56" s="2">
        <v>12666.666666666666</v>
      </c>
      <c r="M56" s="2">
        <v>14000</v>
      </c>
      <c r="N56" s="2">
        <v>9000</v>
      </c>
      <c r="O56" s="2">
        <v>2666.6666666666665</v>
      </c>
      <c r="P56" s="2">
        <v>9000</v>
      </c>
      <c r="Q56" s="2">
        <v>3.5</v>
      </c>
    </row>
    <row r="57" spans="1:17" x14ac:dyDescent="0.25">
      <c r="A57" t="s">
        <v>96</v>
      </c>
      <c r="B57" t="s">
        <v>92</v>
      </c>
      <c r="C57" s="3">
        <v>-0.61455429139363993</v>
      </c>
      <c r="D57" s="3">
        <v>-4.4680187525589443E-2</v>
      </c>
      <c r="E57" s="3">
        <v>0.78592804200963085</v>
      </c>
      <c r="F57" s="2">
        <v>-0.2315010597337806</v>
      </c>
      <c r="G57" s="1">
        <v>-0.24464772278449776</v>
      </c>
      <c r="H57" s="1">
        <v>-0.16723875590622275</v>
      </c>
      <c r="I57" s="2">
        <v>1.95</v>
      </c>
      <c r="J57" s="2">
        <v>51.2</v>
      </c>
      <c r="K57" s="2">
        <v>23.4</v>
      </c>
      <c r="L57" s="2">
        <v>12666.666666666666</v>
      </c>
      <c r="M57" s="2">
        <v>14000</v>
      </c>
      <c r="N57" s="2">
        <v>9000</v>
      </c>
      <c r="O57" s="2">
        <v>2666.6666666666665</v>
      </c>
      <c r="P57" s="2">
        <v>9000</v>
      </c>
      <c r="Q57" s="2">
        <v>4.2</v>
      </c>
    </row>
    <row r="58" spans="1:17" x14ac:dyDescent="0.25">
      <c r="A58" t="s">
        <v>96</v>
      </c>
      <c r="B58" t="s">
        <v>92</v>
      </c>
      <c r="C58" s="3">
        <v>-0.63586602574698303</v>
      </c>
      <c r="D58" s="3">
        <v>-0.18997594699491879</v>
      </c>
      <c r="E58" s="3">
        <v>0.78592804200963085</v>
      </c>
      <c r="F58" s="2">
        <v>-0.27353701041914313</v>
      </c>
      <c r="G58" s="1">
        <v>-0.48924937808130203</v>
      </c>
      <c r="H58" s="1">
        <v>-0.16723875590622275</v>
      </c>
      <c r="I58" s="2">
        <v>1.9</v>
      </c>
      <c r="J58" s="2">
        <v>51.2</v>
      </c>
      <c r="K58" s="2">
        <v>23.4</v>
      </c>
      <c r="L58" s="2">
        <v>12666.666666666666</v>
      </c>
      <c r="M58" s="2">
        <v>14000</v>
      </c>
      <c r="N58" s="2">
        <v>9000</v>
      </c>
      <c r="O58" s="2">
        <v>2666.6666666666665</v>
      </c>
      <c r="P58" s="2">
        <v>9000</v>
      </c>
      <c r="Q58" s="2">
        <v>45.3</v>
      </c>
    </row>
    <row r="59" spans="1:17" x14ac:dyDescent="0.25">
      <c r="A59" t="s">
        <v>96</v>
      </c>
      <c r="B59" t="s">
        <v>92</v>
      </c>
      <c r="C59" s="3">
        <v>1.4347333078208979</v>
      </c>
      <c r="D59" s="3">
        <v>0.18532640041081885</v>
      </c>
      <c r="E59" s="3">
        <v>1.4768857767552197</v>
      </c>
      <c r="F59" s="2">
        <v>-0.28381918540692874</v>
      </c>
      <c r="G59" s="1">
        <v>-0.25143779905288804</v>
      </c>
      <c r="H59" s="1">
        <v>1.0502593870910832</v>
      </c>
      <c r="I59" s="2">
        <v>2.2999999999999998</v>
      </c>
      <c r="J59" s="2">
        <v>55.8</v>
      </c>
      <c r="K59" s="2">
        <v>23</v>
      </c>
      <c r="L59" s="2">
        <v>14666.666666666666</v>
      </c>
      <c r="M59" s="2">
        <v>15833.333333333334</v>
      </c>
      <c r="N59" s="2">
        <v>12166.666666666666</v>
      </c>
      <c r="O59" s="2">
        <v>3183.3333333333335</v>
      </c>
      <c r="P59" s="2">
        <v>12166.666666666666</v>
      </c>
      <c r="Q59" s="2">
        <v>6.4</v>
      </c>
    </row>
    <row r="60" spans="1:17" x14ac:dyDescent="0.25">
      <c r="A60" t="s">
        <v>96</v>
      </c>
      <c r="B60" t="s">
        <v>92</v>
      </c>
      <c r="C60" s="3">
        <v>1.4784112656863893</v>
      </c>
      <c r="D60" s="3">
        <v>0.33876914125787372</v>
      </c>
      <c r="E60" s="3">
        <v>1.4768857767552197</v>
      </c>
      <c r="F60" s="2">
        <v>-0.37303217427154661</v>
      </c>
      <c r="G60" s="1">
        <v>-0.31732570636322543</v>
      </c>
      <c r="H60" s="1">
        <v>1.0502593870910832</v>
      </c>
      <c r="I60" s="2">
        <v>2.1</v>
      </c>
      <c r="J60" s="2">
        <v>55.8</v>
      </c>
      <c r="K60" s="2">
        <v>23</v>
      </c>
      <c r="L60" s="2">
        <v>14666.666666666666</v>
      </c>
      <c r="M60" s="2">
        <v>15833.333333333334</v>
      </c>
      <c r="N60" s="2">
        <v>12166.666666666666</v>
      </c>
      <c r="O60" s="2">
        <v>3183.3333333333335</v>
      </c>
      <c r="P60" s="2">
        <v>12166.666666666666</v>
      </c>
      <c r="Q60" s="2">
        <v>2</v>
      </c>
    </row>
    <row r="61" spans="1:17" x14ac:dyDescent="0.25">
      <c r="A61" t="s">
        <v>96</v>
      </c>
      <c r="B61" t="s">
        <v>92</v>
      </c>
      <c r="C61" s="3">
        <v>1.460649423767447</v>
      </c>
      <c r="D61" s="3">
        <v>0.3403445234573067</v>
      </c>
      <c r="E61" s="3">
        <v>1.4768857767552197</v>
      </c>
      <c r="F61" s="2">
        <v>-0.29258927583768835</v>
      </c>
      <c r="G61" s="1">
        <v>-0.34672729941031211</v>
      </c>
      <c r="H61" s="1">
        <v>1.0502593870910832</v>
      </c>
      <c r="I61" s="2">
        <v>2.25</v>
      </c>
      <c r="J61" s="2">
        <v>55.8</v>
      </c>
      <c r="K61" s="2">
        <v>23</v>
      </c>
      <c r="L61" s="2">
        <v>14666.666666666666</v>
      </c>
      <c r="M61" s="2">
        <v>15833.333333333334</v>
      </c>
      <c r="N61" s="2">
        <v>12166.666666666666</v>
      </c>
      <c r="O61" s="2">
        <v>3183.3333333333335</v>
      </c>
      <c r="P61" s="2">
        <v>12166.666666666666</v>
      </c>
      <c r="Q61" s="2">
        <v>43.2</v>
      </c>
    </row>
    <row r="62" spans="1:17" x14ac:dyDescent="0.25">
      <c r="A62" t="s">
        <v>96</v>
      </c>
      <c r="B62" t="s">
        <v>92</v>
      </c>
      <c r="C62" s="3">
        <v>-0.78136342297112615</v>
      </c>
      <c r="D62" s="3">
        <v>-0.34906758199565407</v>
      </c>
      <c r="E62" s="3">
        <v>0.30859560882235348</v>
      </c>
      <c r="F62" s="2">
        <v>-0.19732794874496121</v>
      </c>
      <c r="G62" s="1">
        <v>1.2267773897132919E-2</v>
      </c>
      <c r="H62" s="1">
        <v>0.61543862173490227</v>
      </c>
      <c r="I62" s="2">
        <v>2.1</v>
      </c>
      <c r="J62" s="2">
        <v>52.827999999999996</v>
      </c>
      <c r="K62" s="2">
        <v>21</v>
      </c>
      <c r="L62" s="2">
        <v>15500</v>
      </c>
      <c r="M62" s="2">
        <v>13166.666666666666</v>
      </c>
      <c r="N62" s="2">
        <v>4166.666666666667</v>
      </c>
      <c r="O62" s="2">
        <v>1116.6666666666667</v>
      </c>
      <c r="P62" s="2">
        <v>4166.666666666667</v>
      </c>
      <c r="Q62" s="2">
        <v>2.6</v>
      </c>
    </row>
    <row r="63" spans="1:17" x14ac:dyDescent="0.25">
      <c r="A63" t="s">
        <v>96</v>
      </c>
      <c r="B63" t="s">
        <v>92</v>
      </c>
      <c r="C63" s="3">
        <v>-0.85358730873980082</v>
      </c>
      <c r="D63" s="3">
        <v>-0.30255614611679765</v>
      </c>
      <c r="E63" s="3">
        <v>0.30859560882235348</v>
      </c>
      <c r="F63" s="2">
        <v>-0.25025090824092067</v>
      </c>
      <c r="G63" s="1">
        <v>-1.545037020676716E-2</v>
      </c>
      <c r="H63" s="1">
        <v>0.61543862173490227</v>
      </c>
      <c r="I63" s="2">
        <v>2.0499999999999998</v>
      </c>
      <c r="J63" s="2">
        <v>52.827999999999996</v>
      </c>
      <c r="K63" s="2">
        <v>21</v>
      </c>
      <c r="L63" s="2">
        <v>15500</v>
      </c>
      <c r="M63" s="2">
        <v>13166.666666666666</v>
      </c>
      <c r="N63" s="2">
        <v>4166.666666666667</v>
      </c>
      <c r="O63" s="2">
        <v>1116.6666666666667</v>
      </c>
      <c r="P63" s="2">
        <v>4166.666666666667</v>
      </c>
      <c r="Q63" s="2">
        <v>18</v>
      </c>
    </row>
    <row r="64" spans="1:17" x14ac:dyDescent="0.25">
      <c r="A64" t="s">
        <v>96</v>
      </c>
      <c r="B64" t="s">
        <v>92</v>
      </c>
      <c r="C64" s="3">
        <v>0.15838935694723075</v>
      </c>
      <c r="D64" s="3">
        <v>-0.49325305448549306</v>
      </c>
      <c r="E64" s="3">
        <v>0.30859560882235348</v>
      </c>
      <c r="F64" s="2">
        <v>-0.22575513841707739</v>
      </c>
      <c r="G64" s="1">
        <v>-3.6320502237937841E-2</v>
      </c>
      <c r="H64" s="1">
        <v>0.61543862173490227</v>
      </c>
      <c r="I64" s="2">
        <v>2.0499999999999998</v>
      </c>
      <c r="J64" s="2">
        <v>52.827999999999996</v>
      </c>
      <c r="K64" s="2">
        <v>21</v>
      </c>
      <c r="L64" s="2">
        <v>15500</v>
      </c>
      <c r="M64" s="2">
        <v>13166.666666666666</v>
      </c>
      <c r="N64" s="2">
        <v>4166.666666666667</v>
      </c>
      <c r="O64" s="2">
        <v>1116.6666666666667</v>
      </c>
      <c r="P64" s="2">
        <v>4166.666666666667</v>
      </c>
      <c r="Q64" s="2">
        <v>9</v>
      </c>
    </row>
    <row r="65" spans="1:17" x14ac:dyDescent="0.25">
      <c r="A65" t="s">
        <v>96</v>
      </c>
      <c r="B65" t="s">
        <v>95</v>
      </c>
      <c r="C65" s="3">
        <v>1.9487465905499033</v>
      </c>
      <c r="D65" s="3">
        <v>0.98540009948368479</v>
      </c>
      <c r="E65" s="3">
        <v>1.2236053011113097</v>
      </c>
      <c r="F65" s="2">
        <v>-0.317992296395749</v>
      </c>
      <c r="G65" s="1">
        <v>-0.29556667356264327</v>
      </c>
      <c r="H65" s="1">
        <v>0.8763310809486109</v>
      </c>
      <c r="I65" s="2">
        <v>2.4</v>
      </c>
      <c r="J65" s="2">
        <v>56.2</v>
      </c>
      <c r="K65" s="2">
        <v>21.2</v>
      </c>
      <c r="L65" s="2">
        <v>14500</v>
      </c>
      <c r="M65" s="2">
        <v>14333.333333333334</v>
      </c>
      <c r="N65" s="2">
        <v>11166.666666666666</v>
      </c>
      <c r="O65" s="2">
        <v>3000</v>
      </c>
      <c r="P65" s="2">
        <v>11166.666666666666</v>
      </c>
      <c r="Q65" s="2">
        <v>14.7</v>
      </c>
    </row>
    <row r="66" spans="1:17" x14ac:dyDescent="0.25">
      <c r="A66" t="s">
        <v>96</v>
      </c>
      <c r="B66" t="s">
        <v>95</v>
      </c>
      <c r="C66" s="3">
        <v>-2.9397697950098521E-2</v>
      </c>
      <c r="D66" s="3">
        <v>1.2115469989049441</v>
      </c>
      <c r="E66" s="3">
        <v>1.2236053011113097</v>
      </c>
      <c r="F66" s="2">
        <v>-0.34037114783975497</v>
      </c>
      <c r="G66" s="1">
        <v>-0.29409013820637725</v>
      </c>
      <c r="H66" s="1">
        <v>0.8763310809486109</v>
      </c>
      <c r="I66" s="2">
        <v>2.2999999999999998</v>
      </c>
      <c r="J66" s="2">
        <v>56.2</v>
      </c>
      <c r="K66" s="2">
        <v>21.2</v>
      </c>
      <c r="L66" s="2">
        <v>14500</v>
      </c>
      <c r="M66" s="2">
        <v>14333.333333333334</v>
      </c>
      <c r="N66" s="2">
        <v>11166.666666666666</v>
      </c>
      <c r="O66" s="2">
        <v>3000</v>
      </c>
      <c r="P66" s="2">
        <v>11166.666666666666</v>
      </c>
      <c r="Q66" s="2">
        <v>4.0999999999999996</v>
      </c>
    </row>
    <row r="67" spans="1:17" x14ac:dyDescent="0.25">
      <c r="A67" t="s">
        <v>96</v>
      </c>
      <c r="B67" t="s">
        <v>95</v>
      </c>
      <c r="C67" s="3">
        <v>-0.58512542225350328</v>
      </c>
      <c r="D67" s="3">
        <v>1.1571042126451256</v>
      </c>
      <c r="E67" s="3">
        <v>1.2236053011113097</v>
      </c>
      <c r="F67" s="2">
        <v>-0.31073429052201718</v>
      </c>
      <c r="G67" s="1">
        <v>-0.25939155733411973</v>
      </c>
      <c r="H67" s="1">
        <v>0.8763310809486109</v>
      </c>
      <c r="I67" s="2">
        <v>2.36</v>
      </c>
      <c r="J67" s="2">
        <v>56.2</v>
      </c>
      <c r="K67" s="2">
        <v>21.2</v>
      </c>
      <c r="L67" s="2">
        <v>14500</v>
      </c>
      <c r="M67" s="2">
        <v>14333.333333333334</v>
      </c>
      <c r="N67" s="2">
        <v>11166.666666666666</v>
      </c>
      <c r="O67" s="2">
        <v>3000</v>
      </c>
      <c r="P67" s="2">
        <v>11166.666666666666</v>
      </c>
      <c r="Q67" s="2">
        <v>2.8</v>
      </c>
    </row>
    <row r="68" spans="1:17" x14ac:dyDescent="0.25">
      <c r="A68" t="s">
        <v>96</v>
      </c>
      <c r="B68" t="s">
        <v>95</v>
      </c>
      <c r="C68" s="3">
        <v>-0.80633912028422516</v>
      </c>
      <c r="D68" s="3">
        <v>1.0293290458282236</v>
      </c>
      <c r="E68" s="3">
        <v>-1.2140296946258951</v>
      </c>
      <c r="F68" s="2">
        <v>-0.2363397303162682</v>
      </c>
      <c r="G68" s="1">
        <v>-0.12804777828293543</v>
      </c>
      <c r="H68" s="1">
        <v>0.96329523401984707</v>
      </c>
      <c r="I68" s="2">
        <v>2.2999999999999998</v>
      </c>
      <c r="J68" s="2">
        <v>57.6</v>
      </c>
      <c r="K68" s="2">
        <v>21.4</v>
      </c>
      <c r="L68" s="2">
        <v>15500</v>
      </c>
      <c r="M68" s="2">
        <v>16166.666666666666</v>
      </c>
      <c r="N68" s="2">
        <v>13833.333333333334</v>
      </c>
      <c r="O68" s="2">
        <v>3500</v>
      </c>
      <c r="P68" s="2">
        <v>13833.333333333334</v>
      </c>
      <c r="Q68" s="1">
        <v>10.532999999999999</v>
      </c>
    </row>
    <row r="69" spans="1:17" x14ac:dyDescent="0.25">
      <c r="A69" t="s">
        <v>96</v>
      </c>
      <c r="B69" t="s">
        <v>95</v>
      </c>
      <c r="C69" s="3">
        <v>-0.58512542225350328</v>
      </c>
      <c r="D69" s="3">
        <v>1.0053531331188352</v>
      </c>
      <c r="E69" s="3">
        <v>-1.2140296946258951</v>
      </c>
      <c r="F69" s="2">
        <v>-0.25569441264621956</v>
      </c>
      <c r="G69" s="1">
        <v>-0.21176667085975223</v>
      </c>
      <c r="H69" s="1">
        <v>0.96329523401984707</v>
      </c>
      <c r="I69" s="2">
        <v>2.2999999999999998</v>
      </c>
      <c r="J69" s="2">
        <v>57.6</v>
      </c>
      <c r="K69" s="2">
        <v>21.4</v>
      </c>
      <c r="L69" s="2">
        <v>15500</v>
      </c>
      <c r="M69" s="2">
        <v>16166.666666666666</v>
      </c>
      <c r="N69" s="2">
        <v>13833.333333333334</v>
      </c>
      <c r="O69" s="2">
        <v>3500</v>
      </c>
      <c r="P69" s="2">
        <v>13833.333333333334</v>
      </c>
      <c r="Q69" s="1">
        <v>10.532999999999999</v>
      </c>
    </row>
    <row r="70" spans="1:17" x14ac:dyDescent="0.25">
      <c r="A70" t="s">
        <v>96</v>
      </c>
      <c r="B70" t="s">
        <v>95</v>
      </c>
      <c r="C70" s="3">
        <v>-0.23882897183281329</v>
      </c>
      <c r="D70" s="3">
        <v>0.60693012422933468</v>
      </c>
      <c r="E70" s="3">
        <v>-1.2140296946258951</v>
      </c>
      <c r="F70" s="2">
        <v>-0.30710528758515121</v>
      </c>
      <c r="G70" s="1">
        <v>-0.10385378639146985</v>
      </c>
      <c r="H70" s="1">
        <v>0.96329523401984707</v>
      </c>
      <c r="I70" s="2">
        <v>2.1</v>
      </c>
      <c r="J70" s="2">
        <v>57.6</v>
      </c>
      <c r="K70" s="2">
        <v>21.4</v>
      </c>
      <c r="L70" s="2">
        <v>15500</v>
      </c>
      <c r="M70" s="2">
        <v>16166.666666666666</v>
      </c>
      <c r="N70" s="2">
        <v>13833.333333333334</v>
      </c>
      <c r="O70" s="2">
        <v>3500</v>
      </c>
      <c r="P70" s="2">
        <v>13833.333333333334</v>
      </c>
      <c r="Q70" s="1">
        <v>10.532999999999999</v>
      </c>
    </row>
    <row r="71" spans="1:17" x14ac:dyDescent="0.25">
      <c r="A71" t="s">
        <v>96</v>
      </c>
      <c r="B71" t="s">
        <v>95</v>
      </c>
      <c r="C71" s="3">
        <v>0.98586932761946022</v>
      </c>
      <c r="D71" s="3">
        <v>0.47367295399470899</v>
      </c>
      <c r="E71" s="3">
        <v>0.48044374923448768</v>
      </c>
      <c r="F71" s="2">
        <v>-0.36970558824608674</v>
      </c>
      <c r="G71" s="1">
        <v>-0.30847973669519141</v>
      </c>
      <c r="H71" s="1">
        <v>0.2675820094499583</v>
      </c>
      <c r="I71" s="2">
        <v>2.25</v>
      </c>
      <c r="J71" s="2">
        <v>53.6</v>
      </c>
      <c r="K71" s="2">
        <v>19.399999999999999</v>
      </c>
      <c r="L71" s="2">
        <v>14833.333333333334</v>
      </c>
      <c r="M71" s="2">
        <v>15666.666666666666</v>
      </c>
      <c r="N71" s="2">
        <v>13166.666666666666</v>
      </c>
      <c r="O71" s="2">
        <v>3016.6666666666665</v>
      </c>
      <c r="P71" s="2">
        <v>13166.666666666666</v>
      </c>
      <c r="Q71" s="1">
        <v>10.532999999999999</v>
      </c>
    </row>
    <row r="72" spans="1:17" x14ac:dyDescent="0.25">
      <c r="A72" t="s">
        <v>96</v>
      </c>
      <c r="B72" t="s">
        <v>95</v>
      </c>
      <c r="C72" s="3">
        <v>1.7328981864152395</v>
      </c>
      <c r="D72" s="3">
        <v>0.62272524359996573</v>
      </c>
      <c r="E72" s="3">
        <v>0.48044374923448768</v>
      </c>
      <c r="F72" s="2">
        <v>-0.26385966925416704</v>
      </c>
      <c r="G72" s="1">
        <v>-0.29982909345320946</v>
      </c>
      <c r="H72" s="1">
        <v>0.2675820094499583</v>
      </c>
      <c r="I72" s="2">
        <v>2.35</v>
      </c>
      <c r="J72" s="2">
        <v>53.6</v>
      </c>
      <c r="K72" s="2">
        <v>19.399999999999999</v>
      </c>
      <c r="L72" s="2">
        <v>14833.333333333334</v>
      </c>
      <c r="M72" s="2">
        <v>15666.666666666666</v>
      </c>
      <c r="N72" s="2">
        <v>13166.666666666666</v>
      </c>
      <c r="O72" s="2">
        <v>3016.6666666666665</v>
      </c>
      <c r="P72" s="2">
        <v>13166.666666666666</v>
      </c>
      <c r="Q72" s="1">
        <v>10.532999999999999</v>
      </c>
    </row>
    <row r="73" spans="1:17" x14ac:dyDescent="0.25">
      <c r="A73" t="s">
        <v>96</v>
      </c>
      <c r="B73" t="s">
        <v>95</v>
      </c>
      <c r="C73" s="3">
        <v>1.7375366123125244</v>
      </c>
      <c r="D73" s="3">
        <v>0.82263068006507034</v>
      </c>
      <c r="E73" s="3">
        <v>0.48044374923448768</v>
      </c>
      <c r="F73" s="2">
        <v>-0.29289169274909443</v>
      </c>
      <c r="G73" s="1">
        <v>-0.28685312859023787</v>
      </c>
      <c r="H73" s="1">
        <v>0.2675820094499583</v>
      </c>
      <c r="I73" s="2">
        <v>2.2999999999999998</v>
      </c>
      <c r="J73" s="2">
        <v>53.6</v>
      </c>
      <c r="K73" s="2">
        <v>19.399999999999999</v>
      </c>
      <c r="L73" s="2">
        <v>14833.333333333334</v>
      </c>
      <c r="M73" s="2">
        <v>15666.666666666666</v>
      </c>
      <c r="N73" s="2">
        <v>13166.666666666666</v>
      </c>
      <c r="O73" s="2">
        <v>3016.6666666666665</v>
      </c>
      <c r="P73" s="2">
        <v>13166.666666666666</v>
      </c>
      <c r="Q73" s="1">
        <v>10.532999999999999</v>
      </c>
    </row>
    <row r="74" spans="1:17" x14ac:dyDescent="0.25">
      <c r="A74" t="s">
        <v>98</v>
      </c>
      <c r="B74" t="s">
        <v>93</v>
      </c>
      <c r="C74" s="3">
        <v>-0.7571981569486308</v>
      </c>
      <c r="D74" s="3">
        <v>-2.9893543208130722</v>
      </c>
      <c r="E74" s="3">
        <v>0.62702460975522623</v>
      </c>
      <c r="F74" s="2">
        <v>-0.444384125888731</v>
      </c>
      <c r="G74" s="1">
        <v>-0.4983538619894255</v>
      </c>
      <c r="H74" s="1">
        <v>-8.0274602834986539E-2</v>
      </c>
      <c r="I74" s="2">
        <v>2</v>
      </c>
      <c r="J74" s="2">
        <v>55.2</v>
      </c>
      <c r="K74" s="2">
        <v>18.399999999999999</v>
      </c>
      <c r="L74" s="2">
        <v>13666.666666666666</v>
      </c>
      <c r="M74" s="2">
        <v>12500</v>
      </c>
      <c r="N74" s="2">
        <v>10000</v>
      </c>
      <c r="O74" s="2">
        <v>2213.3333333333335</v>
      </c>
      <c r="P74" s="2">
        <v>10000</v>
      </c>
      <c r="Q74" s="2">
        <v>5</v>
      </c>
    </row>
    <row r="75" spans="1:17" x14ac:dyDescent="0.25">
      <c r="A75" t="s">
        <v>98</v>
      </c>
      <c r="B75" t="s">
        <v>93</v>
      </c>
      <c r="C75" s="3">
        <v>0.53861383025229248</v>
      </c>
      <c r="D75" s="3">
        <v>-1.5182020680602413</v>
      </c>
      <c r="E75" s="3">
        <v>0.62702460975522623</v>
      </c>
      <c r="F75" s="2">
        <v>-0.444384125888731</v>
      </c>
      <c r="G75" s="1">
        <v>-0.50840446468028666</v>
      </c>
      <c r="H75" s="1">
        <v>-8.0274602834986539E-2</v>
      </c>
      <c r="I75" s="2">
        <v>2.1</v>
      </c>
      <c r="J75" s="2">
        <v>55.2</v>
      </c>
      <c r="K75" s="2">
        <v>18.399999999999999</v>
      </c>
      <c r="L75" s="2">
        <v>13666.666666666666</v>
      </c>
      <c r="M75" s="2">
        <v>12500</v>
      </c>
      <c r="N75" s="2">
        <v>10000</v>
      </c>
      <c r="O75" s="2">
        <v>2213.3333333333335</v>
      </c>
      <c r="P75" s="2">
        <v>10000</v>
      </c>
      <c r="Q75" s="2">
        <v>5.3</v>
      </c>
    </row>
    <row r="76" spans="1:17" x14ac:dyDescent="0.25">
      <c r="A76" t="s">
        <v>98</v>
      </c>
      <c r="B76" t="s">
        <v>93</v>
      </c>
      <c r="C76" s="3">
        <v>-0.77093525471134539</v>
      </c>
      <c r="D76" s="3">
        <v>-1.5338155385182144</v>
      </c>
      <c r="E76" s="3">
        <v>0.62702460975522623</v>
      </c>
      <c r="F76" s="2">
        <v>-0.444384125888731</v>
      </c>
      <c r="G76" s="1">
        <v>-0.52553617381243645</v>
      </c>
      <c r="H76" s="1">
        <v>-8.0274602834986539E-2</v>
      </c>
      <c r="I76" s="2">
        <v>1.95</v>
      </c>
      <c r="J76" s="2">
        <v>55.2</v>
      </c>
      <c r="K76" s="2">
        <v>18.399999999999999</v>
      </c>
      <c r="L76" s="2">
        <v>13666.666666666666</v>
      </c>
      <c r="M76" s="2">
        <v>12500</v>
      </c>
      <c r="N76" s="2">
        <v>10000</v>
      </c>
      <c r="O76" s="2">
        <v>2213.3333333333335</v>
      </c>
      <c r="P76" s="2">
        <v>10000</v>
      </c>
      <c r="Q76" s="2">
        <v>10.8</v>
      </c>
    </row>
    <row r="77" spans="1:17" x14ac:dyDescent="0.25">
      <c r="A77" t="s">
        <v>98</v>
      </c>
      <c r="B77" t="s">
        <v>93</v>
      </c>
      <c r="C77" s="3">
        <v>-0.82216530034268576</v>
      </c>
      <c r="D77" s="3">
        <v>-1.5494290089761873</v>
      </c>
      <c r="E77" s="3">
        <v>-0.77427265336956941</v>
      </c>
      <c r="F77" s="2">
        <v>-0.3124529257818866</v>
      </c>
      <c r="G77" s="1">
        <v>-0.37788099604522557</v>
      </c>
      <c r="H77" s="1">
        <v>-0.77598782740487526</v>
      </c>
      <c r="I77" s="2">
        <v>1.9</v>
      </c>
      <c r="J77" s="2">
        <v>53</v>
      </c>
      <c r="K77" s="2">
        <v>15.6</v>
      </c>
      <c r="L77" s="2">
        <v>13166.666666666666</v>
      </c>
      <c r="M77" s="2">
        <v>13000</v>
      </c>
      <c r="N77" s="2">
        <v>8500</v>
      </c>
      <c r="O77" s="2">
        <v>1635</v>
      </c>
      <c r="P77" s="2">
        <v>8500</v>
      </c>
      <c r="Q77" s="2">
        <v>3.9</v>
      </c>
    </row>
    <row r="78" spans="1:17" x14ac:dyDescent="0.25">
      <c r="A78" t="s">
        <v>98</v>
      </c>
      <c r="B78" t="s">
        <v>93</v>
      </c>
      <c r="C78" s="3">
        <v>-0.81681990246849134</v>
      </c>
      <c r="D78" s="3">
        <v>-1.333209535232855</v>
      </c>
      <c r="E78" s="3">
        <v>-0.77427265336956941</v>
      </c>
      <c r="F78" s="2">
        <v>-0.25917904450359008</v>
      </c>
      <c r="G78" s="1">
        <v>-0.30411387201738044</v>
      </c>
      <c r="H78" s="1">
        <v>-0.77598782740487526</v>
      </c>
      <c r="I78" s="2">
        <v>2.1</v>
      </c>
      <c r="J78" s="2">
        <v>53</v>
      </c>
      <c r="K78" s="2">
        <v>15.6</v>
      </c>
      <c r="L78" s="2">
        <v>13166.666666666666</v>
      </c>
      <c r="M78" s="2">
        <v>13000</v>
      </c>
      <c r="N78" s="2">
        <v>8500</v>
      </c>
      <c r="O78" s="2">
        <v>1635</v>
      </c>
      <c r="P78" s="2">
        <v>8500</v>
      </c>
      <c r="Q78" s="2">
        <v>17.600000000000001</v>
      </c>
    </row>
    <row r="79" spans="1:17" x14ac:dyDescent="0.25">
      <c r="A79" t="s">
        <v>98</v>
      </c>
      <c r="B79" t="s">
        <v>93</v>
      </c>
      <c r="C79" s="3">
        <v>-0.8238852008993951</v>
      </c>
      <c r="D79" s="3">
        <v>-1.2824958892939906</v>
      </c>
      <c r="E79" s="3">
        <v>-0.77427265336956941</v>
      </c>
      <c r="F79" s="2">
        <v>-0.28675611245941462</v>
      </c>
      <c r="G79" s="1">
        <v>-0.45938762161041824</v>
      </c>
      <c r="H79" s="1">
        <v>-0.77598782740487526</v>
      </c>
      <c r="I79" s="2">
        <v>2</v>
      </c>
      <c r="J79" s="2">
        <v>53</v>
      </c>
      <c r="K79" s="2">
        <v>15.6</v>
      </c>
      <c r="L79" s="2">
        <v>13166.666666666666</v>
      </c>
      <c r="M79" s="2">
        <v>13000</v>
      </c>
      <c r="N79" s="2">
        <v>8500</v>
      </c>
      <c r="O79" s="2">
        <v>1635</v>
      </c>
      <c r="P79" s="2">
        <v>8500</v>
      </c>
      <c r="Q79" s="2">
        <v>8.8000000000000007</v>
      </c>
    </row>
    <row r="80" spans="1:17" x14ac:dyDescent="0.25">
      <c r="A80" t="s">
        <v>98</v>
      </c>
      <c r="B80" t="s">
        <v>93</v>
      </c>
      <c r="C80" s="3">
        <v>-0.85556408904546855</v>
      </c>
      <c r="D80" s="3">
        <v>-1.4039112814255743</v>
      </c>
      <c r="E80" s="3">
        <v>-0.2562523848664251</v>
      </c>
      <c r="F80" s="2">
        <v>-0.23254210386444046</v>
      </c>
      <c r="G80" s="1">
        <v>-0.29570421832868665</v>
      </c>
      <c r="H80" s="1">
        <v>6.6895502362496802E-3</v>
      </c>
      <c r="I80" s="2">
        <v>2.2000000000000002</v>
      </c>
      <c r="J80" s="2">
        <v>52</v>
      </c>
      <c r="K80" s="2">
        <v>16.8</v>
      </c>
      <c r="L80" s="2">
        <v>11666.666666666666</v>
      </c>
      <c r="M80" s="2">
        <v>10500</v>
      </c>
      <c r="N80" s="2">
        <v>8000</v>
      </c>
      <c r="O80" s="2">
        <v>1935</v>
      </c>
      <c r="P80" s="2">
        <v>8000</v>
      </c>
      <c r="Q80" s="1">
        <v>10.532999999999999</v>
      </c>
    </row>
    <row r="81" spans="1:17" x14ac:dyDescent="0.25">
      <c r="A81" t="s">
        <v>98</v>
      </c>
      <c r="B81" t="s">
        <v>93</v>
      </c>
      <c r="C81" s="3">
        <v>-0.54973172575846518</v>
      </c>
      <c r="D81" s="3">
        <v>-1.6318379446547377</v>
      </c>
      <c r="E81" s="3">
        <v>-0.2562523848664251</v>
      </c>
      <c r="F81" s="2">
        <v>-0.18835611998067683</v>
      </c>
      <c r="G81" s="1">
        <v>-0.36406981524192517</v>
      </c>
      <c r="H81" s="1">
        <v>6.6895502362496802E-3</v>
      </c>
      <c r="I81" s="2">
        <v>2.2000000000000002</v>
      </c>
      <c r="J81" s="2">
        <v>52</v>
      </c>
      <c r="K81" s="2">
        <v>16.8</v>
      </c>
      <c r="L81" s="2">
        <v>11666.666666666666</v>
      </c>
      <c r="M81" s="2">
        <v>10500</v>
      </c>
      <c r="N81" s="2">
        <v>8000</v>
      </c>
      <c r="O81" s="2">
        <v>1935</v>
      </c>
      <c r="P81" s="2">
        <v>8000</v>
      </c>
      <c r="Q81" s="1">
        <v>10.532999999999999</v>
      </c>
    </row>
    <row r="82" spans="1:17" x14ac:dyDescent="0.25">
      <c r="A82" t="s">
        <v>98</v>
      </c>
      <c r="B82" t="s">
        <v>93</v>
      </c>
      <c r="C82" s="3">
        <v>-0.7070380751597678</v>
      </c>
      <c r="D82" s="3">
        <v>-1.6551570759701373</v>
      </c>
      <c r="E82" s="3">
        <v>-0.2562523848664251</v>
      </c>
      <c r="F82" s="2">
        <v>-0.14761726959138907</v>
      </c>
      <c r="G82" s="1">
        <v>-0.19449108852354199</v>
      </c>
      <c r="H82" s="1">
        <v>6.6895502362496802E-3</v>
      </c>
      <c r="I82" s="2">
        <v>2.15</v>
      </c>
      <c r="J82" s="2">
        <v>52</v>
      </c>
      <c r="K82" s="2">
        <v>16.8</v>
      </c>
      <c r="L82" s="2">
        <v>11666.666666666666</v>
      </c>
      <c r="M82" s="2">
        <v>10500</v>
      </c>
      <c r="N82" s="2">
        <v>8000</v>
      </c>
      <c r="O82" s="2">
        <v>1935</v>
      </c>
      <c r="P82" s="2">
        <v>8000</v>
      </c>
      <c r="Q82" s="1">
        <v>10.532999999999999</v>
      </c>
    </row>
    <row r="83" spans="1:17" x14ac:dyDescent="0.25">
      <c r="A83" t="s">
        <v>98</v>
      </c>
      <c r="B83" t="s">
        <v>94</v>
      </c>
      <c r="C83" s="3">
        <v>1.8882109544257448</v>
      </c>
      <c r="D83" s="3">
        <v>-1.7811764450672374</v>
      </c>
      <c r="E83" s="3">
        <v>-0.82378842452800305</v>
      </c>
      <c r="F83" s="2">
        <v>-0.40270514818276826</v>
      </c>
      <c r="G83" s="1">
        <v>-0.44089881238230932</v>
      </c>
      <c r="H83" s="1">
        <v>0.35454616252119453</v>
      </c>
      <c r="I83" s="2">
        <v>2.1</v>
      </c>
      <c r="J83" s="2">
        <v>52.8</v>
      </c>
      <c r="K83" s="2">
        <v>16.600000000000001</v>
      </c>
      <c r="L83" s="2">
        <v>10833.333333333334</v>
      </c>
      <c r="M83" s="2">
        <v>10333.333333333334</v>
      </c>
      <c r="N83" s="2">
        <v>7666.666666666667</v>
      </c>
      <c r="O83" s="2">
        <v>1940</v>
      </c>
      <c r="P83" s="2">
        <v>7666.666666666667</v>
      </c>
      <c r="Q83" s="2">
        <v>5.4</v>
      </c>
    </row>
    <row r="84" spans="1:17" x14ac:dyDescent="0.25">
      <c r="A84" t="s">
        <v>98</v>
      </c>
      <c r="B84" t="s">
        <v>94</v>
      </c>
      <c r="C84" s="3">
        <v>-0.18414055546764757</v>
      </c>
      <c r="D84" s="3">
        <v>-1.7056802691272446</v>
      </c>
      <c r="E84" s="3">
        <v>-0.82378842452800305</v>
      </c>
      <c r="F84" s="2">
        <v>-0.2902032459538923</v>
      </c>
      <c r="G84" s="1">
        <v>3.4134929003649693E-2</v>
      </c>
      <c r="H84" s="1">
        <v>0.35454616252119453</v>
      </c>
      <c r="I84" s="2">
        <v>2.15</v>
      </c>
      <c r="J84" s="2">
        <v>52.8</v>
      </c>
      <c r="K84" s="2">
        <v>16.600000000000001</v>
      </c>
      <c r="L84" s="2">
        <v>10833.333333333334</v>
      </c>
      <c r="M84" s="2">
        <v>10333.333333333334</v>
      </c>
      <c r="N84" s="2">
        <v>7666.666666666667</v>
      </c>
      <c r="O84" s="2">
        <v>1940</v>
      </c>
      <c r="P84" s="2">
        <v>7666.666666666667</v>
      </c>
      <c r="Q84" s="2">
        <v>13.5</v>
      </c>
    </row>
    <row r="85" spans="1:17" x14ac:dyDescent="0.25">
      <c r="A85" t="s">
        <v>98</v>
      </c>
      <c r="B85" t="s">
        <v>94</v>
      </c>
      <c r="C85" s="3">
        <v>-0.8086757975187262</v>
      </c>
      <c r="D85" s="3">
        <v>-1.6850294544371824</v>
      </c>
      <c r="E85" s="3">
        <v>-0.82378842452800305</v>
      </c>
      <c r="F85" s="2">
        <v>-0.28581598514273787</v>
      </c>
      <c r="G85" s="1">
        <v>-0.87786824748768977</v>
      </c>
      <c r="H85" s="1">
        <v>0.35454616252119453</v>
      </c>
      <c r="I85" s="2">
        <v>2.2999999999999998</v>
      </c>
      <c r="J85" s="2">
        <v>52.8</v>
      </c>
      <c r="K85" s="2">
        <v>16.600000000000001</v>
      </c>
      <c r="L85" s="2">
        <v>10833.333333333334</v>
      </c>
      <c r="M85" s="2">
        <v>10333.333333333334</v>
      </c>
      <c r="N85" s="2">
        <v>7666.666666666667</v>
      </c>
      <c r="O85" s="2">
        <v>1940</v>
      </c>
      <c r="P85" s="2">
        <v>7666.666666666667</v>
      </c>
      <c r="Q85" s="2">
        <v>0.7</v>
      </c>
    </row>
    <row r="86" spans="1:17" x14ac:dyDescent="0.25">
      <c r="A86" t="s">
        <v>98</v>
      </c>
      <c r="B86" t="s">
        <v>94</v>
      </c>
      <c r="C86" s="3">
        <v>-0.16167706251527414</v>
      </c>
      <c r="D86" s="3">
        <v>-1.3679618302920447</v>
      </c>
      <c r="E86" s="3">
        <v>1.5004976719040841</v>
      </c>
      <c r="F86" s="2">
        <v>-0.34253699991551467</v>
      </c>
      <c r="G86" s="1">
        <v>-0.39857677250859264</v>
      </c>
      <c r="H86" s="1">
        <v>1.311151846304792</v>
      </c>
      <c r="I86" s="2">
        <v>1.9</v>
      </c>
      <c r="J86" s="2">
        <v>52.4</v>
      </c>
      <c r="K86" s="2">
        <v>17.399999999999999</v>
      </c>
      <c r="L86" s="2">
        <v>13666.666666666666</v>
      </c>
      <c r="M86" s="2">
        <v>13500</v>
      </c>
      <c r="N86" s="2">
        <v>7333.333333333333</v>
      </c>
      <c r="O86" s="2">
        <v>1873.3333333333333</v>
      </c>
      <c r="P86" s="2">
        <v>7333.333333333333</v>
      </c>
      <c r="Q86" s="2">
        <v>5.6</v>
      </c>
    </row>
    <row r="87" spans="1:17" x14ac:dyDescent="0.25">
      <c r="A87" t="s">
        <v>98</v>
      </c>
      <c r="B87" t="s">
        <v>94</v>
      </c>
      <c r="C87" s="3">
        <v>1.2097791576796977</v>
      </c>
      <c r="D87" s="3">
        <v>-1.5323055048447241</v>
      </c>
      <c r="E87" s="3">
        <v>1.5004976719040841</v>
      </c>
      <c r="F87" s="2">
        <v>-0.32561470821534888</v>
      </c>
      <c r="G87" s="1">
        <v>-0.51912857868114692</v>
      </c>
      <c r="H87" s="1">
        <v>1.311151846304792</v>
      </c>
      <c r="I87" s="2">
        <v>2</v>
      </c>
      <c r="J87" s="2">
        <v>52.4</v>
      </c>
      <c r="K87" s="2">
        <v>17.399999999999999</v>
      </c>
      <c r="L87" s="2">
        <v>13666.666666666666</v>
      </c>
      <c r="M87" s="2">
        <v>13500</v>
      </c>
      <c r="N87" s="2">
        <v>7333.333333333333</v>
      </c>
      <c r="O87" s="2">
        <v>1873.3333333333333</v>
      </c>
      <c r="P87" s="2">
        <v>7333.333333333333</v>
      </c>
      <c r="Q87" s="2">
        <v>12.4</v>
      </c>
    </row>
    <row r="88" spans="1:17" x14ac:dyDescent="0.25">
      <c r="A88" t="s">
        <v>98</v>
      </c>
      <c r="B88" t="s">
        <v>94</v>
      </c>
      <c r="C88" s="3">
        <v>-0.81657672886792831</v>
      </c>
      <c r="D88" s="3">
        <v>-1.4542265203896492</v>
      </c>
      <c r="E88" s="3">
        <v>1.5004976719040841</v>
      </c>
      <c r="F88" s="2">
        <v>-0.36415992819905901</v>
      </c>
      <c r="G88" s="1">
        <v>-0.49915838048690514</v>
      </c>
      <c r="H88" s="1">
        <v>1.311151846304792</v>
      </c>
      <c r="I88" s="2">
        <v>2.1</v>
      </c>
      <c r="J88" s="2">
        <v>52.4</v>
      </c>
      <c r="K88" s="2">
        <v>17.399999999999999</v>
      </c>
      <c r="L88" s="2">
        <v>13666.666666666666</v>
      </c>
      <c r="M88" s="2">
        <v>13500</v>
      </c>
      <c r="N88" s="2">
        <v>7333.333333333333</v>
      </c>
      <c r="O88" s="2">
        <v>1873.3333333333333</v>
      </c>
      <c r="P88" s="2">
        <v>7333.333333333333</v>
      </c>
      <c r="Q88" s="2">
        <v>3.4</v>
      </c>
    </row>
    <row r="89" spans="1:17" x14ac:dyDescent="0.25">
      <c r="A89" t="s">
        <v>98</v>
      </c>
      <c r="B89" t="s">
        <v>94</v>
      </c>
      <c r="C89" s="3">
        <v>0.53576869912570513</v>
      </c>
      <c r="D89" s="3">
        <v>-1.2468865354515104</v>
      </c>
      <c r="E89" s="3">
        <v>-0.20891526536861205</v>
      </c>
      <c r="F89" s="2">
        <v>-0.21938032143097905</v>
      </c>
      <c r="G89" s="1">
        <v>-1.0541501752988582</v>
      </c>
      <c r="H89" s="1">
        <v>1.1372235401623194</v>
      </c>
      <c r="I89" s="2">
        <v>2.2000000000000002</v>
      </c>
      <c r="J89" s="2">
        <v>57.2</v>
      </c>
      <c r="K89" s="2">
        <v>19</v>
      </c>
      <c r="L89" s="2">
        <v>16666.666666666668</v>
      </c>
      <c r="M89" s="2">
        <v>15166.666666666666</v>
      </c>
      <c r="N89" s="2">
        <v>7666.666666666667</v>
      </c>
      <c r="O89" s="2">
        <v>1714.9999999999998</v>
      </c>
      <c r="P89" s="2">
        <v>7666.666666666667</v>
      </c>
      <c r="Q89" s="1">
        <v>10.532999999999999</v>
      </c>
    </row>
    <row r="90" spans="1:17" x14ac:dyDescent="0.25">
      <c r="A90" t="s">
        <v>98</v>
      </c>
      <c r="B90" t="s">
        <v>94</v>
      </c>
      <c r="C90" s="3">
        <v>-0.78763907040092895</v>
      </c>
      <c r="D90" s="3">
        <v>-1.1346188524172487</v>
      </c>
      <c r="E90" s="3">
        <v>-0.20891526536861205</v>
      </c>
      <c r="F90" s="2">
        <v>-0.24257012857564922</v>
      </c>
      <c r="G90" s="1">
        <v>-0.12155535626240435</v>
      </c>
      <c r="H90" s="1">
        <v>1.1372235401623194</v>
      </c>
      <c r="I90" s="2">
        <v>1.9</v>
      </c>
      <c r="J90" s="2">
        <v>57.2</v>
      </c>
      <c r="K90" s="2">
        <v>19</v>
      </c>
      <c r="L90" s="2">
        <v>16666.666666666668</v>
      </c>
      <c r="M90" s="2">
        <v>15166.666666666666</v>
      </c>
      <c r="N90" s="2">
        <v>7666.666666666667</v>
      </c>
      <c r="O90" s="2">
        <v>1714.9999999999998</v>
      </c>
      <c r="P90" s="2">
        <v>7666.666666666667</v>
      </c>
      <c r="Q90" s="1">
        <v>10.532999999999999</v>
      </c>
    </row>
    <row r="91" spans="1:17" x14ac:dyDescent="0.25">
      <c r="A91" t="s">
        <v>98</v>
      </c>
      <c r="B91" t="s">
        <v>94</v>
      </c>
      <c r="C91" s="3">
        <v>-0.86647595170346003</v>
      </c>
      <c r="D91" s="3">
        <v>-1.3688324776559007</v>
      </c>
      <c r="E91" s="3">
        <v>-0.20891526536861205</v>
      </c>
      <c r="F91" s="2">
        <v>-0.27766821506488171</v>
      </c>
      <c r="G91" s="1">
        <v>4.3513699963838769E-2</v>
      </c>
      <c r="H91" s="1">
        <v>1.1372235401623194</v>
      </c>
      <c r="I91" s="2">
        <v>1.95</v>
      </c>
      <c r="J91" s="2">
        <v>57.2</v>
      </c>
      <c r="K91" s="2">
        <v>19</v>
      </c>
      <c r="L91" s="2">
        <v>16666.666666666668</v>
      </c>
      <c r="M91" s="2">
        <v>15166.666666666666</v>
      </c>
      <c r="N91" s="2">
        <v>7666.666666666667</v>
      </c>
      <c r="O91" s="2">
        <v>1714.9999999999998</v>
      </c>
      <c r="P91" s="2">
        <v>7666.666666666667</v>
      </c>
      <c r="Q91" s="1">
        <v>10.532999999999999</v>
      </c>
    </row>
    <row r="92" spans="1:17" x14ac:dyDescent="0.25">
      <c r="A92" t="s">
        <v>98</v>
      </c>
      <c r="B92" t="s">
        <v>92</v>
      </c>
      <c r="C92" s="3">
        <v>-0.69584015192075033</v>
      </c>
      <c r="D92" s="3">
        <v>-0.50865433893895806</v>
      </c>
      <c r="E92" s="3">
        <v>-0.36398466121986478</v>
      </c>
      <c r="F92" s="2">
        <v>-0.28563368687536173</v>
      </c>
      <c r="G92" s="1">
        <v>-0.25757402838660903</v>
      </c>
      <c r="H92" s="1">
        <v>-1.1238444396898202</v>
      </c>
      <c r="I92" s="2">
        <v>2</v>
      </c>
      <c r="J92" s="2">
        <v>54.4</v>
      </c>
      <c r="K92" s="2">
        <v>18.399999999999999</v>
      </c>
      <c r="L92" s="2">
        <v>16333.333333333334</v>
      </c>
      <c r="M92" s="2">
        <v>15000</v>
      </c>
      <c r="N92" s="2">
        <v>6666.666666666667</v>
      </c>
      <c r="O92" s="2">
        <v>1725</v>
      </c>
      <c r="P92" s="2">
        <v>6666.666666666667</v>
      </c>
      <c r="Q92" s="2">
        <v>3</v>
      </c>
    </row>
    <row r="93" spans="1:17" x14ac:dyDescent="0.25">
      <c r="A93" t="s">
        <v>98</v>
      </c>
      <c r="B93" t="s">
        <v>92</v>
      </c>
      <c r="C93" s="3">
        <v>2.5494194282446427</v>
      </c>
      <c r="D93" s="3">
        <v>-0.40638919091995801</v>
      </c>
      <c r="E93" s="3">
        <v>-0.36398466121986478</v>
      </c>
      <c r="F93" s="2">
        <v>-0.25387991117778658</v>
      </c>
      <c r="G93" s="1">
        <v>-0.20715498083446376</v>
      </c>
      <c r="H93" s="1">
        <v>-1.1238444396898202</v>
      </c>
      <c r="I93" s="2">
        <v>1.9</v>
      </c>
      <c r="J93" s="2">
        <v>54.4</v>
      </c>
      <c r="K93" s="2">
        <v>18.399999999999999</v>
      </c>
      <c r="L93" s="2">
        <v>16333.333333333334</v>
      </c>
      <c r="M93" s="2">
        <v>15000</v>
      </c>
      <c r="N93" s="2">
        <v>6666.666666666667</v>
      </c>
      <c r="O93" s="2">
        <v>1725</v>
      </c>
      <c r="P93" s="2">
        <v>6666.666666666667</v>
      </c>
      <c r="Q93" s="2">
        <v>3.2</v>
      </c>
    </row>
    <row r="94" spans="1:17" x14ac:dyDescent="0.25">
      <c r="A94" t="s">
        <v>98</v>
      </c>
      <c r="B94" t="s">
        <v>92</v>
      </c>
      <c r="C94" s="3">
        <v>0.85711244319189483</v>
      </c>
      <c r="D94" s="3">
        <v>-0.31132579921210118</v>
      </c>
      <c r="E94" s="3">
        <v>-0.36398466121986478</v>
      </c>
      <c r="F94" s="2">
        <v>-0.21819471563193946</v>
      </c>
      <c r="G94" s="1">
        <v>-0.133465603642867</v>
      </c>
      <c r="H94" s="1">
        <v>-1.1238444396898202</v>
      </c>
      <c r="I94" s="2">
        <v>1.85</v>
      </c>
      <c r="J94" s="2">
        <v>54.4</v>
      </c>
      <c r="K94" s="2">
        <v>18.399999999999999</v>
      </c>
      <c r="L94" s="2">
        <v>16333.333333333334</v>
      </c>
      <c r="M94" s="2">
        <v>15000</v>
      </c>
      <c r="N94" s="2">
        <v>6666.666666666667</v>
      </c>
      <c r="O94" s="2">
        <v>1725</v>
      </c>
      <c r="P94" s="2">
        <v>6666.666666666667</v>
      </c>
      <c r="Q94" s="2">
        <v>3</v>
      </c>
    </row>
    <row r="95" spans="1:17" x14ac:dyDescent="0.25">
      <c r="A95" t="s">
        <v>98</v>
      </c>
      <c r="B95" t="s">
        <v>92</v>
      </c>
      <c r="C95" s="3">
        <v>1.430746587173122</v>
      </c>
      <c r="D95" s="3">
        <v>-5.5550371485521617E-2</v>
      </c>
      <c r="E95" s="3">
        <v>-0.72252156595047268</v>
      </c>
      <c r="F95" s="2">
        <v>3.9252193875345758</v>
      </c>
      <c r="G95" s="1">
        <v>2.7035630034183882</v>
      </c>
      <c r="H95" s="1">
        <v>0.61543862173490227</v>
      </c>
      <c r="I95" s="2">
        <v>1.78</v>
      </c>
      <c r="J95" s="2">
        <v>52.4</v>
      </c>
      <c r="K95" s="2">
        <v>18.8</v>
      </c>
      <c r="L95" s="2">
        <v>14166.666666666666</v>
      </c>
      <c r="M95" s="2">
        <v>12666.666666666666</v>
      </c>
      <c r="N95" s="2">
        <v>6833.333333333333</v>
      </c>
      <c r="O95" s="2">
        <v>1635</v>
      </c>
      <c r="P95" s="2">
        <v>6833.333333333333</v>
      </c>
      <c r="Q95" s="1">
        <v>10.532999999999999</v>
      </c>
    </row>
    <row r="96" spans="1:17" x14ac:dyDescent="0.25">
      <c r="A96" t="s">
        <v>98</v>
      </c>
      <c r="B96" t="s">
        <v>92</v>
      </c>
      <c r="C96" s="3">
        <v>0.57112923558430284</v>
      </c>
      <c r="D96" s="3">
        <v>9.8143683673146687E-2</v>
      </c>
      <c r="E96" s="3">
        <v>-0.72252156595047268</v>
      </c>
      <c r="F96" s="2">
        <v>4.15051998653166</v>
      </c>
      <c r="G96" s="1">
        <v>3.1574618901572369</v>
      </c>
      <c r="H96" s="1">
        <v>0.61543862173490227</v>
      </c>
      <c r="I96" s="2">
        <v>1.74</v>
      </c>
      <c r="J96" s="2">
        <v>52.4</v>
      </c>
      <c r="K96" s="2">
        <v>18.8</v>
      </c>
      <c r="L96" s="2">
        <v>14166.666666666666</v>
      </c>
      <c r="M96" s="2">
        <v>12666.666666666666</v>
      </c>
      <c r="N96" s="2">
        <v>6833.333333333333</v>
      </c>
      <c r="O96" s="2">
        <v>1635</v>
      </c>
      <c r="P96" s="2">
        <v>6833.333333333333</v>
      </c>
      <c r="Q96" s="1">
        <v>10.532999999999999</v>
      </c>
    </row>
    <row r="97" spans="1:17" x14ac:dyDescent="0.25">
      <c r="A97" t="s">
        <v>98</v>
      </c>
      <c r="B97" t="s">
        <v>92</v>
      </c>
      <c r="C97" s="3">
        <v>1.2050982869357691</v>
      </c>
      <c r="D97" s="3">
        <v>-0.76136684956920042</v>
      </c>
      <c r="E97" s="3">
        <v>-0.72252156595047268</v>
      </c>
      <c r="F97" s="2">
        <v>3.9228000522433319</v>
      </c>
      <c r="G97" s="1">
        <v>3.1650100978081048</v>
      </c>
      <c r="H97" s="1">
        <v>0.61543862173490227</v>
      </c>
      <c r="I97" s="2">
        <v>1.9</v>
      </c>
      <c r="J97" s="2">
        <v>52.4</v>
      </c>
      <c r="K97" s="2">
        <v>18.8</v>
      </c>
      <c r="L97" s="2">
        <v>14166.666666666666</v>
      </c>
      <c r="M97" s="2">
        <v>12666.666666666666</v>
      </c>
      <c r="N97" s="2">
        <v>6833.333333333333</v>
      </c>
      <c r="O97" s="2">
        <v>1635</v>
      </c>
      <c r="P97" s="2">
        <v>6833.333333333333</v>
      </c>
      <c r="Q97" s="1">
        <v>10.532999999999999</v>
      </c>
    </row>
    <row r="98" spans="1:17" x14ac:dyDescent="0.25">
      <c r="A98" t="s">
        <v>98</v>
      </c>
      <c r="B98" t="s">
        <v>92</v>
      </c>
      <c r="C98" s="3">
        <v>1.4225750699265662</v>
      </c>
      <c r="D98" s="3">
        <v>0.3529825413445522</v>
      </c>
      <c r="E98" s="3">
        <v>-0.58649456322078519</v>
      </c>
      <c r="F98" s="2">
        <v>-0.23818286776449663</v>
      </c>
      <c r="G98" s="1">
        <v>-0.16143696737445212</v>
      </c>
      <c r="H98" s="1">
        <v>0.61543862173490227</v>
      </c>
      <c r="I98" s="2">
        <v>2.2000000000000002</v>
      </c>
      <c r="J98" s="2">
        <v>54.4</v>
      </c>
      <c r="K98" s="2">
        <v>17.600000000000001</v>
      </c>
      <c r="L98" s="2">
        <v>11333.333333333334</v>
      </c>
      <c r="M98" s="2">
        <v>10333.333333333334</v>
      </c>
      <c r="N98" s="2">
        <v>5166.666666666667</v>
      </c>
      <c r="O98" s="2">
        <v>1405</v>
      </c>
      <c r="P98" s="2">
        <v>5166.666666666667</v>
      </c>
      <c r="Q98" s="1">
        <v>10.532999999999999</v>
      </c>
    </row>
    <row r="99" spans="1:17" x14ac:dyDescent="0.25">
      <c r="A99" t="s">
        <v>98</v>
      </c>
      <c r="B99" t="s">
        <v>92</v>
      </c>
      <c r="C99" s="3">
        <v>-0.36870135988623431</v>
      </c>
      <c r="D99" s="3">
        <v>0.34545176700757779</v>
      </c>
      <c r="E99" s="3">
        <v>-0.58649456322078519</v>
      </c>
      <c r="F99" s="2">
        <v>-0.23442235849779219</v>
      </c>
      <c r="G99" s="1">
        <v>-0.17658677290111885</v>
      </c>
      <c r="H99" s="1">
        <v>0.61543862173490227</v>
      </c>
      <c r="I99" s="2">
        <v>1.97</v>
      </c>
      <c r="J99" s="2">
        <v>54.4</v>
      </c>
      <c r="K99" s="2">
        <v>17.600000000000001</v>
      </c>
      <c r="L99" s="2">
        <v>11333.333333333334</v>
      </c>
      <c r="M99" s="2">
        <v>10333.333333333334</v>
      </c>
      <c r="N99" s="2">
        <v>5166.666666666667</v>
      </c>
      <c r="O99" s="2">
        <v>1405</v>
      </c>
      <c r="P99" s="2">
        <v>5166.666666666667</v>
      </c>
      <c r="Q99" s="1">
        <v>10.532999999999999</v>
      </c>
    </row>
    <row r="100" spans="1:17" x14ac:dyDescent="0.25">
      <c r="A100" t="s">
        <v>98</v>
      </c>
      <c r="B100" t="s">
        <v>92</v>
      </c>
      <c r="C100" s="3">
        <v>0.55898514597218563</v>
      </c>
      <c r="D100" s="3">
        <v>0.23791242090619702</v>
      </c>
      <c r="E100" s="3">
        <v>-0.58649456322078519</v>
      </c>
      <c r="F100" s="2">
        <v>-0.23630261313114487</v>
      </c>
      <c r="G100" s="1">
        <v>-0.16882711641185069</v>
      </c>
      <c r="H100" s="1">
        <v>0.61543862173490227</v>
      </c>
      <c r="I100" s="2">
        <v>2</v>
      </c>
      <c r="J100" s="2">
        <v>54.4</v>
      </c>
      <c r="K100" s="2">
        <v>17.600000000000001</v>
      </c>
      <c r="L100" s="2">
        <v>11333.333333333334</v>
      </c>
      <c r="M100" s="2">
        <v>10333.333333333334</v>
      </c>
      <c r="N100" s="2">
        <v>5166.666666666667</v>
      </c>
      <c r="O100" s="2">
        <v>1405</v>
      </c>
      <c r="P100" s="2">
        <v>5166.666666666667</v>
      </c>
      <c r="Q100" s="1">
        <v>10.532999999999999</v>
      </c>
    </row>
    <row r="101" spans="1:17" x14ac:dyDescent="0.25">
      <c r="A101" t="s">
        <v>98</v>
      </c>
      <c r="B101" t="s">
        <v>95</v>
      </c>
      <c r="C101" s="3">
        <v>1.6600645981098807</v>
      </c>
      <c r="D101" s="3">
        <v>-1.6724943610099305</v>
      </c>
      <c r="E101" s="3">
        <v>8.5661309409317349E-2</v>
      </c>
      <c r="F101" s="2">
        <v>-0.22575513841707651</v>
      </c>
      <c r="G101" s="1">
        <v>-0.35497073671323326</v>
      </c>
      <c r="H101" s="1">
        <v>-0.77598782740487526</v>
      </c>
      <c r="I101" s="2">
        <v>1.8</v>
      </c>
      <c r="J101" s="2">
        <v>55.8</v>
      </c>
      <c r="K101" s="2">
        <v>19.8</v>
      </c>
      <c r="L101" s="2">
        <v>17000</v>
      </c>
      <c r="M101" s="2">
        <v>18666.666666666668</v>
      </c>
      <c r="N101" s="2">
        <v>9166.6666666666661</v>
      </c>
      <c r="O101" s="2">
        <v>1950</v>
      </c>
      <c r="P101" s="2">
        <v>9166.6666666666661</v>
      </c>
      <c r="Q101" s="2">
        <v>4.9000000000000004</v>
      </c>
    </row>
    <row r="102" spans="1:17" x14ac:dyDescent="0.25">
      <c r="A102" t="s">
        <v>98</v>
      </c>
      <c r="B102" t="s">
        <v>95</v>
      </c>
      <c r="C102" s="3">
        <v>1.6600645981098807</v>
      </c>
      <c r="D102" s="3">
        <v>-1.7476698762201208</v>
      </c>
      <c r="E102" s="3">
        <v>8.5661309409317349E-2</v>
      </c>
      <c r="F102" s="2">
        <v>-0.25932341558308458</v>
      </c>
      <c r="G102" s="1">
        <v>-0.32217576084064697</v>
      </c>
      <c r="H102" s="1">
        <v>-0.77598782740487526</v>
      </c>
      <c r="I102" s="2">
        <v>1.65</v>
      </c>
      <c r="J102" s="2">
        <v>55.8</v>
      </c>
      <c r="K102" s="2">
        <v>19.8</v>
      </c>
      <c r="L102" s="2">
        <v>17000</v>
      </c>
      <c r="M102" s="2">
        <v>18666.666666666668</v>
      </c>
      <c r="N102" s="2">
        <v>9166.6666666666661</v>
      </c>
      <c r="O102" s="2">
        <v>1950</v>
      </c>
      <c r="P102" s="2">
        <v>9166.6666666666661</v>
      </c>
      <c r="Q102" s="2">
        <v>3.7</v>
      </c>
    </row>
    <row r="103" spans="1:17" x14ac:dyDescent="0.25">
      <c r="A103" t="s">
        <v>98</v>
      </c>
      <c r="B103" t="s">
        <v>95</v>
      </c>
      <c r="C103" s="3">
        <v>2.3229956252884025</v>
      </c>
      <c r="D103" s="3">
        <v>-1.7158365954017367</v>
      </c>
      <c r="E103" s="3">
        <v>8.5661309409317349E-2</v>
      </c>
      <c r="F103" s="2">
        <v>-0.37212492353733012</v>
      </c>
      <c r="G103" s="1">
        <v>-0.35600364933914203</v>
      </c>
      <c r="H103" s="1">
        <v>-0.77598782740487526</v>
      </c>
      <c r="I103" s="2">
        <v>1.7</v>
      </c>
      <c r="J103" s="2">
        <v>55.8</v>
      </c>
      <c r="K103" s="2">
        <v>19.8</v>
      </c>
      <c r="L103" s="2">
        <v>17000</v>
      </c>
      <c r="M103" s="2">
        <v>18666.666666666668</v>
      </c>
      <c r="N103" s="2">
        <v>9166.6666666666661</v>
      </c>
      <c r="O103" s="2">
        <v>1950</v>
      </c>
      <c r="P103" s="2">
        <v>9166.6666666666661</v>
      </c>
      <c r="Q103" s="2">
        <v>3.4</v>
      </c>
    </row>
    <row r="104" spans="1:17" x14ac:dyDescent="0.25">
      <c r="A104" t="s">
        <v>98</v>
      </c>
      <c r="B104" t="s">
        <v>95</v>
      </c>
      <c r="C104" s="3">
        <v>-0.765908193186979</v>
      </c>
      <c r="D104" s="3">
        <v>-0.89442140322225161</v>
      </c>
      <c r="E104" s="3">
        <v>-0.38964800622335516</v>
      </c>
      <c r="F104" s="2">
        <v>-0.37888858949364718</v>
      </c>
      <c r="G104" s="1">
        <v>-0.32853831458598104</v>
      </c>
      <c r="H104" s="1">
        <v>0.2675820094499583</v>
      </c>
      <c r="I104" s="2">
        <v>1.95</v>
      </c>
      <c r="J104" s="2">
        <v>57.6</v>
      </c>
      <c r="K104" s="2">
        <v>19.2</v>
      </c>
      <c r="L104" s="2">
        <v>12000</v>
      </c>
      <c r="M104" s="2">
        <v>12166.666666666666</v>
      </c>
      <c r="N104" s="2">
        <v>9000</v>
      </c>
      <c r="O104" s="2">
        <v>2640</v>
      </c>
      <c r="P104" s="2">
        <v>9000</v>
      </c>
      <c r="Q104" s="1">
        <v>10.532999999999999</v>
      </c>
    </row>
    <row r="105" spans="1:17" x14ac:dyDescent="0.25">
      <c r="A105" t="s">
        <v>98</v>
      </c>
      <c r="B105" t="s">
        <v>95</v>
      </c>
      <c r="C105" s="3">
        <v>-0.86517607827499587</v>
      </c>
      <c r="D105" s="3">
        <v>-0.86632727872082482</v>
      </c>
      <c r="E105" s="3">
        <v>-0.38964800622335516</v>
      </c>
      <c r="F105" s="2">
        <v>-0.27547458465930413</v>
      </c>
      <c r="G105" s="1">
        <v>-0.35170811139754993</v>
      </c>
      <c r="H105" s="1">
        <v>0.2675820094499583</v>
      </c>
      <c r="I105" s="2">
        <v>2.25</v>
      </c>
      <c r="J105" s="2">
        <v>57.6</v>
      </c>
      <c r="K105" s="2">
        <v>19.2</v>
      </c>
      <c r="L105" s="2">
        <v>12000</v>
      </c>
      <c r="M105" s="2">
        <v>12166.666666666666</v>
      </c>
      <c r="N105" s="2">
        <v>9000</v>
      </c>
      <c r="O105" s="2">
        <v>2640</v>
      </c>
      <c r="P105" s="2">
        <v>9000</v>
      </c>
      <c r="Q105" s="1">
        <v>10.532999999999999</v>
      </c>
    </row>
    <row r="106" spans="1:17" x14ac:dyDescent="0.25">
      <c r="A106" t="s">
        <v>98</v>
      </c>
      <c r="B106" t="s">
        <v>95</v>
      </c>
      <c r="C106" s="3">
        <v>-0.87249339298284678</v>
      </c>
      <c r="D106" s="3">
        <v>-0.77881101443046652</v>
      </c>
      <c r="E106" s="3">
        <v>-0.38964800622335516</v>
      </c>
      <c r="F106" s="2">
        <v>-0.1770745921805654</v>
      </c>
      <c r="G106" s="1">
        <v>-0.25772725017309533</v>
      </c>
      <c r="H106" s="1">
        <v>0.2675820094499583</v>
      </c>
      <c r="I106" s="2">
        <v>2</v>
      </c>
      <c r="J106" s="2">
        <v>57.6</v>
      </c>
      <c r="K106" s="2">
        <v>19.2</v>
      </c>
      <c r="L106" s="2">
        <v>12000</v>
      </c>
      <c r="M106" s="2">
        <v>12166.666666666666</v>
      </c>
      <c r="N106" s="2">
        <v>9000</v>
      </c>
      <c r="O106" s="2">
        <v>2640</v>
      </c>
      <c r="P106" s="2">
        <v>9000</v>
      </c>
      <c r="Q106" s="1">
        <v>10.532999999999999</v>
      </c>
    </row>
    <row r="107" spans="1:17" x14ac:dyDescent="0.25">
      <c r="A107" t="s">
        <v>98</v>
      </c>
      <c r="B107" t="s">
        <v>95</v>
      </c>
      <c r="C107" s="3">
        <v>-0.59305686083623055</v>
      </c>
      <c r="D107" s="3">
        <v>-0.70771864439360987</v>
      </c>
      <c r="E107" s="3">
        <v>-0.95228901595149207</v>
      </c>
      <c r="F107" s="2">
        <v>-0.18613852302295825</v>
      </c>
      <c r="G107" s="1">
        <v>-0.20113131249202729</v>
      </c>
      <c r="H107" s="1">
        <v>-0.34116706204869518</v>
      </c>
      <c r="I107" s="2">
        <v>1.95</v>
      </c>
      <c r="J107" s="2">
        <v>55.6</v>
      </c>
      <c r="K107" s="2">
        <v>20.399999999999999</v>
      </c>
      <c r="L107" s="2">
        <v>15833.333333333334</v>
      </c>
      <c r="M107" s="2">
        <v>12833.333333333334</v>
      </c>
      <c r="N107" s="2">
        <v>4166.666666666667</v>
      </c>
      <c r="O107" s="2">
        <v>1128.3333333333333</v>
      </c>
      <c r="P107" s="2">
        <v>4166.666666666667</v>
      </c>
      <c r="Q107" s="1">
        <v>10.532999999999999</v>
      </c>
    </row>
    <row r="108" spans="1:17" x14ac:dyDescent="0.25">
      <c r="A108" t="s">
        <v>98</v>
      </c>
      <c r="B108" t="s">
        <v>95</v>
      </c>
      <c r="C108" s="3">
        <v>2.0065038577541743</v>
      </c>
      <c r="D108" s="3">
        <v>-0.84243481137941534</v>
      </c>
      <c r="E108" s="3">
        <v>-0.95228901595149207</v>
      </c>
      <c r="F108" s="2">
        <v>-0.24601707148124433</v>
      </c>
      <c r="G108" s="1">
        <v>-0.25794150691697981</v>
      </c>
      <c r="H108" s="1">
        <v>-0.34116706204869518</v>
      </c>
      <c r="I108" s="2">
        <v>1.85</v>
      </c>
      <c r="J108" s="2">
        <v>55.6</v>
      </c>
      <c r="K108" s="2">
        <v>20.399999999999999</v>
      </c>
      <c r="L108" s="2">
        <v>15833.333333333334</v>
      </c>
      <c r="M108" s="2">
        <v>12833.333333333334</v>
      </c>
      <c r="N108" s="2">
        <v>4166.666666666667</v>
      </c>
      <c r="O108" s="2">
        <v>1128.3333333333333</v>
      </c>
      <c r="P108" s="2">
        <v>4166.666666666667</v>
      </c>
      <c r="Q108" s="1">
        <v>10.532999999999999</v>
      </c>
    </row>
    <row r="109" spans="1:17" x14ac:dyDescent="0.25">
      <c r="A109" t="s">
        <v>98</v>
      </c>
      <c r="B109" t="s">
        <v>95</v>
      </c>
      <c r="C109" s="3">
        <v>2.9078838435036869</v>
      </c>
      <c r="D109" s="3">
        <v>-0.79559442127088054</v>
      </c>
      <c r="E109" s="3">
        <v>-0.95228901595149207</v>
      </c>
      <c r="F109" s="2">
        <v>-0.25508957882340827</v>
      </c>
      <c r="G109" s="1">
        <v>-0.25602962537383261</v>
      </c>
      <c r="H109" s="1">
        <v>-0.34116706204869518</v>
      </c>
      <c r="I109" s="2">
        <v>1.77</v>
      </c>
      <c r="J109" s="2">
        <v>55.6</v>
      </c>
      <c r="K109" s="2">
        <v>20.399999999999999</v>
      </c>
      <c r="L109" s="2">
        <v>15833.333333333334</v>
      </c>
      <c r="M109" s="2">
        <v>12833.333333333334</v>
      </c>
      <c r="N109" s="2">
        <v>4166.666666666667</v>
      </c>
      <c r="O109" s="2">
        <v>1128.3333333333333</v>
      </c>
      <c r="P109" s="2">
        <v>4166.666666666667</v>
      </c>
      <c r="Q109" s="1">
        <v>10.532999999999999</v>
      </c>
    </row>
  </sheetData>
  <sortState xmlns:xlrd2="http://schemas.microsoft.com/office/spreadsheetml/2017/richdata2" ref="A2:O82">
    <sortCondition ref="B1:B82"/>
  </sortState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D53AD-CB7A-40E3-8157-A7763EA62F41}">
  <dimension ref="A1:Q109"/>
  <sheetViews>
    <sheetView tabSelected="1" zoomScale="85" zoomScaleNormal="85" workbookViewId="0">
      <selection sqref="A1:B1"/>
    </sheetView>
  </sheetViews>
  <sheetFormatPr defaultRowHeight="15" x14ac:dyDescent="0.25"/>
  <cols>
    <col min="1" max="1" width="20" bestFit="1" customWidth="1"/>
    <col min="2" max="2" width="13.7109375" bestFit="1" customWidth="1"/>
    <col min="3" max="3" width="12" customWidth="1"/>
    <col min="4" max="5" width="11.7109375" customWidth="1"/>
    <col min="6" max="8" width="21.85546875" customWidth="1"/>
    <col min="9" max="9" width="8.5703125" customWidth="1"/>
    <col min="10" max="10" width="15.42578125" customWidth="1"/>
    <col min="11" max="11" width="14.85546875" customWidth="1"/>
    <col min="12" max="12" width="18.5703125" customWidth="1"/>
    <col min="13" max="13" width="20.28515625" customWidth="1"/>
    <col min="14" max="14" width="19.140625" customWidth="1"/>
    <col min="15" max="15" width="24.42578125" customWidth="1"/>
    <col min="16" max="16" width="27.28515625" customWidth="1"/>
    <col min="17" max="17" width="12.28515625" customWidth="1"/>
  </cols>
  <sheetData>
    <row r="1" spans="1:17" x14ac:dyDescent="0.25">
      <c r="A1" s="5" t="s">
        <v>0</v>
      </c>
      <c r="B1" s="6" t="s">
        <v>99</v>
      </c>
      <c r="C1" t="s">
        <v>74</v>
      </c>
      <c r="D1" t="s">
        <v>75</v>
      </c>
      <c r="E1" t="s">
        <v>77</v>
      </c>
      <c r="F1" t="s">
        <v>78</v>
      </c>
      <c r="G1" t="s">
        <v>76</v>
      </c>
      <c r="H1" s="4" t="s">
        <v>82</v>
      </c>
      <c r="I1" t="s">
        <v>7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</row>
    <row r="2" spans="1:17" x14ac:dyDescent="0.25">
      <c r="A2" t="s">
        <v>98</v>
      </c>
      <c r="B2" t="s">
        <v>93</v>
      </c>
      <c r="C2" s="1">
        <v>-0.59623727788477476</v>
      </c>
      <c r="D2" s="1">
        <v>-0.89499475450042376</v>
      </c>
      <c r="E2" s="2">
        <f t="shared" ref="E2:E37" si="0">(C2+D2)/2</f>
        <v>-0.74561601619259932</v>
      </c>
      <c r="F2" s="1">
        <v>-0.47262684874154443</v>
      </c>
      <c r="G2" s="1">
        <v>-0.4983538619894255</v>
      </c>
      <c r="H2" s="2">
        <v>10.4</v>
      </c>
      <c r="I2" s="1">
        <v>-8.0274602834986539E-2</v>
      </c>
      <c r="J2" s="2">
        <v>2</v>
      </c>
      <c r="K2" s="2">
        <v>55.2</v>
      </c>
      <c r="L2" s="2">
        <v>18.399999999999999</v>
      </c>
      <c r="M2" s="2">
        <v>13666.666666666666</v>
      </c>
      <c r="N2" s="2">
        <v>12500</v>
      </c>
      <c r="O2" s="2">
        <v>10000</v>
      </c>
      <c r="P2" s="2">
        <v>2213.3333333333335</v>
      </c>
      <c r="Q2" s="2">
        <v>10000</v>
      </c>
    </row>
    <row r="3" spans="1:17" x14ac:dyDescent="0.25">
      <c r="A3" t="s">
        <v>98</v>
      </c>
      <c r="B3" t="s">
        <v>93</v>
      </c>
      <c r="C3" s="1">
        <v>-0.55089982538502436</v>
      </c>
      <c r="D3" s="1">
        <v>-0.76189883074701181</v>
      </c>
      <c r="E3" s="2">
        <f t="shared" si="0"/>
        <v>-0.65639932806601808</v>
      </c>
      <c r="F3" s="1">
        <v>-0.48714804165323217</v>
      </c>
      <c r="G3" s="1">
        <v>-0.50840446468028666</v>
      </c>
      <c r="H3" s="2">
        <v>6.9</v>
      </c>
      <c r="I3" s="1">
        <v>-8.0274602834986539E-2</v>
      </c>
      <c r="J3" s="2">
        <v>2.1</v>
      </c>
      <c r="K3" s="2">
        <v>55.2</v>
      </c>
      <c r="L3" s="2">
        <v>18.399999999999999</v>
      </c>
      <c r="M3" s="2">
        <v>13666.666666666666</v>
      </c>
      <c r="N3" s="2">
        <v>12500</v>
      </c>
      <c r="O3" s="2">
        <v>10000</v>
      </c>
      <c r="P3" s="2">
        <v>2213.3333333333335</v>
      </c>
      <c r="Q3" s="2">
        <v>10000</v>
      </c>
    </row>
    <row r="4" spans="1:17" x14ac:dyDescent="0.25">
      <c r="A4" t="s">
        <v>98</v>
      </c>
      <c r="B4" t="s">
        <v>93</v>
      </c>
      <c r="C4" s="1">
        <v>0.33362090327498295</v>
      </c>
      <c r="D4" s="1">
        <v>0.98641595356908829</v>
      </c>
      <c r="E4" s="2">
        <f t="shared" si="0"/>
        <v>0.66001842842203562</v>
      </c>
      <c r="F4" s="1">
        <v>-0.51190007502542634</v>
      </c>
      <c r="G4" s="1">
        <v>-0.52553617381243645</v>
      </c>
      <c r="H4" s="2">
        <v>5.8</v>
      </c>
      <c r="I4" s="1">
        <v>-8.0274602834986539E-2</v>
      </c>
      <c r="J4" s="2">
        <v>1.95</v>
      </c>
      <c r="K4" s="2">
        <v>55.2</v>
      </c>
      <c r="L4" s="2">
        <v>18.399999999999999</v>
      </c>
      <c r="M4" s="2">
        <v>13666.666666666666</v>
      </c>
      <c r="N4" s="2">
        <v>12500</v>
      </c>
      <c r="O4" s="2">
        <v>10000</v>
      </c>
      <c r="P4" s="2">
        <v>2213.3333333333335</v>
      </c>
      <c r="Q4" s="2">
        <v>10000</v>
      </c>
    </row>
    <row r="5" spans="1:17" x14ac:dyDescent="0.25">
      <c r="A5" t="s">
        <v>98</v>
      </c>
      <c r="B5" t="s">
        <v>93</v>
      </c>
      <c r="C5" s="1">
        <v>-0.62098959248668473</v>
      </c>
      <c r="D5" s="1">
        <v>-0.88960978811403135</v>
      </c>
      <c r="E5" s="2">
        <f t="shared" si="0"/>
        <v>-0.75529969030035804</v>
      </c>
      <c r="F5" s="1">
        <v>-0.32114440450370374</v>
      </c>
      <c r="G5" s="1">
        <v>-0.37788099604522557</v>
      </c>
      <c r="H5" s="2">
        <v>12.6</v>
      </c>
      <c r="I5" s="1">
        <v>-0.77598782740487526</v>
      </c>
      <c r="J5" s="2">
        <v>1.9</v>
      </c>
      <c r="K5" s="2">
        <v>53</v>
      </c>
      <c r="L5" s="2">
        <v>15.6</v>
      </c>
      <c r="M5" s="2">
        <v>13166.666666666666</v>
      </c>
      <c r="N5" s="2">
        <v>13000</v>
      </c>
      <c r="O5" s="2">
        <v>8500</v>
      </c>
      <c r="P5" s="2">
        <v>1635</v>
      </c>
      <c r="Q5" s="2">
        <v>8500</v>
      </c>
    </row>
    <row r="6" spans="1:17" x14ac:dyDescent="0.25">
      <c r="A6" t="s">
        <v>98</v>
      </c>
      <c r="B6" t="s">
        <v>93</v>
      </c>
      <c r="C6" s="1">
        <v>-0.58057461104004349</v>
      </c>
      <c r="D6" s="1">
        <v>-0.91508899148588785</v>
      </c>
      <c r="E6" s="2">
        <f t="shared" si="0"/>
        <v>-0.74783180126296567</v>
      </c>
      <c r="F6" s="1">
        <v>-0.22048613545677348</v>
      </c>
      <c r="G6" s="1">
        <v>-0.30411387201738044</v>
      </c>
      <c r="H6" s="2">
        <v>7.8</v>
      </c>
      <c r="I6" s="1">
        <v>-0.77598782740487526</v>
      </c>
      <c r="J6" s="2">
        <v>2.1</v>
      </c>
      <c r="K6" s="2">
        <v>53</v>
      </c>
      <c r="L6" s="2">
        <v>15.6</v>
      </c>
      <c r="M6" s="2">
        <v>13166.666666666666</v>
      </c>
      <c r="N6" s="2">
        <v>13000</v>
      </c>
      <c r="O6" s="2">
        <v>8500</v>
      </c>
      <c r="P6" s="2">
        <v>1635</v>
      </c>
      <c r="Q6" s="2">
        <v>8500</v>
      </c>
    </row>
    <row r="7" spans="1:17" x14ac:dyDescent="0.25">
      <c r="A7" t="s">
        <v>98</v>
      </c>
      <c r="B7" t="s">
        <v>93</v>
      </c>
      <c r="C7" s="1">
        <v>-0.56943555935830115</v>
      </c>
      <c r="D7" s="1">
        <v>-0.8538821108428567</v>
      </c>
      <c r="E7" s="2">
        <f t="shared" si="0"/>
        <v>-0.71165883510057892</v>
      </c>
      <c r="F7" s="1">
        <v>-0.43236354112277192</v>
      </c>
      <c r="G7" s="1">
        <v>-0.45938762161041824</v>
      </c>
      <c r="H7" s="2">
        <v>6.3</v>
      </c>
      <c r="I7" s="1">
        <v>-0.77598782740487526</v>
      </c>
      <c r="J7" s="2">
        <v>2</v>
      </c>
      <c r="K7" s="2">
        <v>53</v>
      </c>
      <c r="L7" s="2">
        <v>15.6</v>
      </c>
      <c r="M7" s="2">
        <v>13166.666666666666</v>
      </c>
      <c r="N7" s="2">
        <v>13000</v>
      </c>
      <c r="O7" s="2">
        <v>8500</v>
      </c>
      <c r="P7" s="2">
        <v>1635</v>
      </c>
      <c r="Q7" s="2">
        <v>8500</v>
      </c>
    </row>
    <row r="8" spans="1:17" x14ac:dyDescent="0.25">
      <c r="A8" t="s">
        <v>98</v>
      </c>
      <c r="B8" t="s">
        <v>93</v>
      </c>
      <c r="C8" s="1">
        <v>-0.39800439495666162</v>
      </c>
      <c r="D8" s="1">
        <v>-0.42720225984819654</v>
      </c>
      <c r="E8" s="2">
        <f t="shared" si="0"/>
        <v>-0.41260332740242911</v>
      </c>
      <c r="F8" s="1">
        <v>-0.25579903640110552</v>
      </c>
      <c r="G8" s="1">
        <v>-0.29570421832868665</v>
      </c>
      <c r="H8" s="1">
        <v>10.532999999999999</v>
      </c>
      <c r="I8" s="1">
        <v>6.6895502362496802E-3</v>
      </c>
      <c r="J8" s="2">
        <v>2.2000000000000002</v>
      </c>
      <c r="K8" s="2">
        <v>52</v>
      </c>
      <c r="L8" s="2">
        <v>16.8</v>
      </c>
      <c r="M8" s="2">
        <v>11666.666666666666</v>
      </c>
      <c r="N8" s="2">
        <v>10500</v>
      </c>
      <c r="O8" s="2">
        <v>8000</v>
      </c>
      <c r="P8" s="2">
        <v>1935</v>
      </c>
      <c r="Q8" s="2">
        <v>8000</v>
      </c>
    </row>
    <row r="9" spans="1:17" x14ac:dyDescent="0.25">
      <c r="A9" t="s">
        <v>98</v>
      </c>
      <c r="B9" t="s">
        <v>93</v>
      </c>
      <c r="C9" s="1">
        <v>-0.56260985644614625</v>
      </c>
      <c r="D9" s="1">
        <v>-0.83692695301647857</v>
      </c>
      <c r="E9" s="2">
        <f t="shared" si="0"/>
        <v>-0.69976840473131241</v>
      </c>
      <c r="F9" s="1">
        <v>-0.34028597697820256</v>
      </c>
      <c r="G9" s="1">
        <v>-0.36406981524192517</v>
      </c>
      <c r="H9" s="1">
        <v>10.532999999999999</v>
      </c>
      <c r="I9" s="1">
        <v>6.6895502362496802E-3</v>
      </c>
      <c r="J9" s="2">
        <v>2.2000000000000002</v>
      </c>
      <c r="K9" s="2">
        <v>52</v>
      </c>
      <c r="L9" s="2">
        <v>16.8</v>
      </c>
      <c r="M9" s="2">
        <v>11666.666666666666</v>
      </c>
      <c r="N9" s="2">
        <v>10500</v>
      </c>
      <c r="O9" s="2">
        <v>8000</v>
      </c>
      <c r="P9" s="2">
        <v>1935</v>
      </c>
      <c r="Q9" s="2">
        <v>8000</v>
      </c>
    </row>
    <row r="10" spans="1:17" x14ac:dyDescent="0.25">
      <c r="A10" t="s">
        <v>98</v>
      </c>
      <c r="B10" t="s">
        <v>93</v>
      </c>
      <c r="C10" s="1">
        <v>-0.47869372391232407</v>
      </c>
      <c r="D10" s="1">
        <v>-0.71908757353132113</v>
      </c>
      <c r="E10" s="2">
        <f t="shared" si="0"/>
        <v>-0.59889064872182263</v>
      </c>
      <c r="F10" s="1">
        <v>-0.13071876109361491</v>
      </c>
      <c r="G10" s="1">
        <v>-0.19449108852354199</v>
      </c>
      <c r="H10" s="1">
        <v>10.532999999999999</v>
      </c>
      <c r="I10" s="1">
        <v>6.6895502362496802E-3</v>
      </c>
      <c r="J10" s="2">
        <v>2.15</v>
      </c>
      <c r="K10" s="2">
        <v>52</v>
      </c>
      <c r="L10" s="2">
        <v>16.8</v>
      </c>
      <c r="M10" s="2">
        <v>11666.666666666666</v>
      </c>
      <c r="N10" s="2">
        <v>10500</v>
      </c>
      <c r="O10" s="2">
        <v>8000</v>
      </c>
      <c r="P10" s="2">
        <v>1935</v>
      </c>
      <c r="Q10" s="2">
        <v>8000</v>
      </c>
    </row>
    <row r="11" spans="1:17" x14ac:dyDescent="0.25">
      <c r="A11" t="s">
        <v>98</v>
      </c>
      <c r="B11" t="s">
        <v>94</v>
      </c>
      <c r="C11" s="1">
        <v>-0.49763568092603638</v>
      </c>
      <c r="D11" s="1">
        <v>-0.52935915093578279</v>
      </c>
      <c r="E11" s="2">
        <f t="shared" si="0"/>
        <v>-0.51349741593090958</v>
      </c>
      <c r="F11" s="1">
        <v>-0.37757904059230946</v>
      </c>
      <c r="G11" s="1">
        <v>-0.44089881238230932</v>
      </c>
      <c r="H11" s="2">
        <v>17.7</v>
      </c>
      <c r="I11" s="1">
        <v>0.35454616252119453</v>
      </c>
      <c r="J11" s="2">
        <v>2.1</v>
      </c>
      <c r="K11" s="2">
        <v>52.8</v>
      </c>
      <c r="L11" s="2">
        <v>16.600000000000001</v>
      </c>
      <c r="M11" s="2">
        <v>10833.333333333334</v>
      </c>
      <c r="N11" s="2">
        <v>10333.333333333334</v>
      </c>
      <c r="O11" s="2">
        <v>7666.666666666667</v>
      </c>
      <c r="P11" s="2">
        <v>1940</v>
      </c>
      <c r="Q11" s="2">
        <v>7666.666666666667</v>
      </c>
    </row>
    <row r="12" spans="1:17" x14ac:dyDescent="0.25">
      <c r="A12" t="s">
        <v>98</v>
      </c>
      <c r="B12" t="s">
        <v>94</v>
      </c>
      <c r="C12" s="1">
        <v>-0.51644065859286015</v>
      </c>
      <c r="D12" s="1">
        <v>-0.76582784265501236</v>
      </c>
      <c r="E12" s="2">
        <f t="shared" si="0"/>
        <v>-0.64113425062393625</v>
      </c>
      <c r="F12" s="1">
        <v>0.33494949341530622</v>
      </c>
      <c r="G12" s="1">
        <v>3.4134929003649693E-2</v>
      </c>
      <c r="H12" s="2">
        <v>13.5</v>
      </c>
      <c r="I12" s="1">
        <v>0.35454616252119453</v>
      </c>
      <c r="J12" s="2">
        <v>2.15</v>
      </c>
      <c r="K12" s="2">
        <v>52.8</v>
      </c>
      <c r="L12" s="2">
        <v>16.600000000000001</v>
      </c>
      <c r="M12" s="2">
        <v>10833.333333333334</v>
      </c>
      <c r="N12" s="2">
        <v>10333.333333333334</v>
      </c>
      <c r="O12" s="2">
        <v>7666.666666666667</v>
      </c>
      <c r="P12" s="2">
        <v>1940</v>
      </c>
      <c r="Q12" s="2">
        <v>7666.666666666667</v>
      </c>
    </row>
    <row r="13" spans="1:17" x14ac:dyDescent="0.25">
      <c r="A13" t="s">
        <v>98</v>
      </c>
      <c r="B13" t="s">
        <v>94</v>
      </c>
      <c r="C13" s="1">
        <v>-0.45165196027284699</v>
      </c>
      <c r="D13" s="1">
        <v>-0.58088548318525135</v>
      </c>
      <c r="E13" s="2">
        <f t="shared" si="0"/>
        <v>-0.51626872172904914</v>
      </c>
      <c r="F13" s="1">
        <v>-1.0330128842880626</v>
      </c>
      <c r="G13" s="1">
        <v>-0.87786824748768977</v>
      </c>
      <c r="H13" s="2">
        <v>12.5</v>
      </c>
      <c r="I13" s="1">
        <v>0.35454616252119453</v>
      </c>
      <c r="J13" s="2">
        <v>2.2999999999999998</v>
      </c>
      <c r="K13" s="2">
        <v>52.8</v>
      </c>
      <c r="L13" s="2">
        <v>16.600000000000001</v>
      </c>
      <c r="M13" s="2">
        <v>10833.333333333334</v>
      </c>
      <c r="N13" s="2">
        <v>10333.333333333334</v>
      </c>
      <c r="O13" s="2">
        <v>7666.666666666667</v>
      </c>
      <c r="P13" s="2">
        <v>1940</v>
      </c>
      <c r="Q13" s="2">
        <v>7666.666666666667</v>
      </c>
    </row>
    <row r="14" spans="1:17" x14ac:dyDescent="0.25">
      <c r="A14" t="s">
        <v>98</v>
      </c>
      <c r="B14" t="s">
        <v>94</v>
      </c>
      <c r="C14" s="1">
        <v>-0.12031335469400661</v>
      </c>
      <c r="D14" s="1">
        <v>0.20111696048544109</v>
      </c>
      <c r="E14" s="2">
        <f t="shared" si="0"/>
        <v>4.0401802895717237E-2</v>
      </c>
      <c r="F14" s="1">
        <v>-0.35183692588522686</v>
      </c>
      <c r="G14" s="1">
        <v>-0.39857677250859264</v>
      </c>
      <c r="H14" s="2">
        <v>10.3</v>
      </c>
      <c r="I14" s="1">
        <v>1.311151846304792</v>
      </c>
      <c r="J14" s="2">
        <v>1.9</v>
      </c>
      <c r="K14" s="2">
        <v>52.4</v>
      </c>
      <c r="L14" s="2">
        <v>17.399999999999999</v>
      </c>
      <c r="M14" s="2">
        <v>13666.666666666666</v>
      </c>
      <c r="N14" s="2">
        <v>13500</v>
      </c>
      <c r="O14" s="2">
        <v>7333.333333333333</v>
      </c>
      <c r="P14" s="2">
        <v>1873.3333333333333</v>
      </c>
      <c r="Q14" s="2">
        <v>7333.333333333333</v>
      </c>
    </row>
    <row r="15" spans="1:17" x14ac:dyDescent="0.25">
      <c r="A15" t="s">
        <v>98</v>
      </c>
      <c r="B15" t="s">
        <v>94</v>
      </c>
      <c r="C15" s="1">
        <v>0.63206715258707802</v>
      </c>
      <c r="D15" s="1">
        <v>1.4497683033581348</v>
      </c>
      <c r="E15" s="2">
        <f t="shared" si="0"/>
        <v>1.0409177279726065</v>
      </c>
      <c r="F15" s="1">
        <v>-0.51520034614171928</v>
      </c>
      <c r="G15" s="1">
        <v>-0.51912857868114692</v>
      </c>
      <c r="H15" s="2">
        <v>4.4000000000000004</v>
      </c>
      <c r="I15" s="1">
        <v>1.311151846304792</v>
      </c>
      <c r="J15" s="2">
        <v>2</v>
      </c>
      <c r="K15" s="2">
        <v>52.4</v>
      </c>
      <c r="L15" s="2">
        <v>17.399999999999999</v>
      </c>
      <c r="M15" s="2">
        <v>13666.666666666666</v>
      </c>
      <c r="N15" s="2">
        <v>13500</v>
      </c>
      <c r="O15" s="2">
        <v>7333.333333333333</v>
      </c>
      <c r="P15" s="2">
        <v>1873.3333333333333</v>
      </c>
      <c r="Q15" s="2">
        <v>7333.333333333333</v>
      </c>
    </row>
    <row r="16" spans="1:17" x14ac:dyDescent="0.25">
      <c r="A16" t="s">
        <v>98</v>
      </c>
      <c r="B16" t="s">
        <v>94</v>
      </c>
      <c r="C16" s="1">
        <v>-0.49793639224517977</v>
      </c>
      <c r="D16" s="1">
        <v>-0.63465770266202648</v>
      </c>
      <c r="E16" s="2">
        <f t="shared" si="0"/>
        <v>-0.5662970474536031</v>
      </c>
      <c r="F16" s="1">
        <v>-0.48813812298811859</v>
      </c>
      <c r="G16" s="1">
        <v>-0.49915838048690514</v>
      </c>
      <c r="H16" s="2">
        <v>12.5</v>
      </c>
      <c r="I16" s="1">
        <v>1.311151846304792</v>
      </c>
      <c r="J16" s="2">
        <v>2.1</v>
      </c>
      <c r="K16" s="2">
        <v>52.4</v>
      </c>
      <c r="L16" s="2">
        <v>17.399999999999999</v>
      </c>
      <c r="M16" s="2">
        <v>13666.666666666666</v>
      </c>
      <c r="N16" s="2">
        <v>13500</v>
      </c>
      <c r="O16" s="2">
        <v>7333.333333333333</v>
      </c>
      <c r="P16" s="2">
        <v>1873.3333333333333</v>
      </c>
      <c r="Q16" s="2">
        <v>7333.333333333333</v>
      </c>
    </row>
    <row r="17" spans="1:17" x14ac:dyDescent="0.25">
      <c r="A17" t="s">
        <v>98</v>
      </c>
      <c r="B17" t="s">
        <v>94</v>
      </c>
      <c r="C17" s="1">
        <v>-0.26864871355837838</v>
      </c>
      <c r="D17" s="1">
        <v>-0.12809396632368861</v>
      </c>
      <c r="E17" s="2">
        <f t="shared" si="0"/>
        <v>-0.19837133994103351</v>
      </c>
      <c r="F17" s="1">
        <v>-1.2798731637867655</v>
      </c>
      <c r="G17" s="1">
        <v>-1.0541501752988582</v>
      </c>
      <c r="H17" s="1">
        <v>10.532999999999999</v>
      </c>
      <c r="I17" s="1">
        <v>1.1372235401623194</v>
      </c>
      <c r="J17" s="2">
        <v>2.2000000000000002</v>
      </c>
      <c r="K17" s="2">
        <v>57.2</v>
      </c>
      <c r="L17" s="2">
        <v>19</v>
      </c>
      <c r="M17" s="2">
        <v>16666.666666666668</v>
      </c>
      <c r="N17" s="2">
        <v>15166.666666666666</v>
      </c>
      <c r="O17" s="2">
        <v>7666.666666666667</v>
      </c>
      <c r="P17" s="2">
        <v>1714.9999999999998</v>
      </c>
      <c r="Q17" s="2">
        <v>7666.666666666667</v>
      </c>
    </row>
    <row r="18" spans="1:17" x14ac:dyDescent="0.25">
      <c r="A18" t="s">
        <v>98</v>
      </c>
      <c r="B18" t="s">
        <v>94</v>
      </c>
      <c r="C18" s="1">
        <v>-5.3357662932765358E-2</v>
      </c>
      <c r="D18" s="1">
        <v>0.39729288645904931</v>
      </c>
      <c r="E18" s="2">
        <f t="shared" si="0"/>
        <v>0.17196761176314199</v>
      </c>
      <c r="F18" s="1">
        <v>7.7528346344467355E-2</v>
      </c>
      <c r="G18" s="1">
        <v>-0.12155535626240435</v>
      </c>
      <c r="H18" s="1">
        <v>10.532999999999999</v>
      </c>
      <c r="I18" s="1">
        <v>1.1372235401623194</v>
      </c>
      <c r="J18" s="2">
        <v>1.9</v>
      </c>
      <c r="K18" s="2">
        <v>57.2</v>
      </c>
      <c r="L18" s="2">
        <v>19</v>
      </c>
      <c r="M18" s="2">
        <v>16666.666666666668</v>
      </c>
      <c r="N18" s="2">
        <v>15166.666666666666</v>
      </c>
      <c r="O18" s="2">
        <v>7666.666666666667</v>
      </c>
      <c r="P18" s="2">
        <v>1714.9999999999998</v>
      </c>
      <c r="Q18" s="2">
        <v>7666.666666666667</v>
      </c>
    </row>
    <row r="19" spans="1:17" x14ac:dyDescent="0.25">
      <c r="A19" t="s">
        <v>98</v>
      </c>
      <c r="B19" t="s">
        <v>94</v>
      </c>
      <c r="C19" s="1">
        <v>-0.51139292886406129</v>
      </c>
      <c r="D19" s="1">
        <v>-0.74357032578853344</v>
      </c>
      <c r="E19" s="2">
        <f t="shared" si="0"/>
        <v>-0.62748162732629731</v>
      </c>
      <c r="F19" s="1">
        <v>0.31778808361058453</v>
      </c>
      <c r="G19" s="1">
        <v>4.3513699963838769E-2</v>
      </c>
      <c r="H19" s="1">
        <v>10.532999999999999</v>
      </c>
      <c r="I19" s="1">
        <v>1.1372235401623194</v>
      </c>
      <c r="J19" s="2">
        <v>1.95</v>
      </c>
      <c r="K19" s="2">
        <v>57.2</v>
      </c>
      <c r="L19" s="2">
        <v>19</v>
      </c>
      <c r="M19" s="2">
        <v>16666.666666666668</v>
      </c>
      <c r="N19" s="2">
        <v>15166.666666666666</v>
      </c>
      <c r="O19" s="2">
        <v>7666.666666666667</v>
      </c>
      <c r="P19" s="2">
        <v>1714.9999999999998</v>
      </c>
      <c r="Q19" s="2">
        <v>7666.666666666667</v>
      </c>
    </row>
    <row r="20" spans="1:17" x14ac:dyDescent="0.25">
      <c r="A20" t="s">
        <v>98</v>
      </c>
      <c r="B20" t="s">
        <v>92</v>
      </c>
      <c r="C20" s="1">
        <v>0.80221750916231382</v>
      </c>
      <c r="D20" s="1">
        <v>1.4164140384051045</v>
      </c>
      <c r="E20" s="2">
        <f t="shared" si="0"/>
        <v>1.1093157737837092</v>
      </c>
      <c r="F20" s="1">
        <v>-0.33449698181365939</v>
      </c>
      <c r="G20" s="1">
        <v>-0.25757402838660903</v>
      </c>
      <c r="H20" s="2">
        <v>8</v>
      </c>
      <c r="I20" s="1">
        <v>-1.1238444396898202</v>
      </c>
      <c r="J20" s="2">
        <v>2</v>
      </c>
      <c r="K20" s="2">
        <v>54.4</v>
      </c>
      <c r="L20" s="2">
        <v>18.399999999999999</v>
      </c>
      <c r="M20" s="2">
        <v>16333.333333333334</v>
      </c>
      <c r="N20" s="2">
        <v>15000</v>
      </c>
      <c r="O20" s="2">
        <v>6666.666666666667</v>
      </c>
      <c r="P20" s="2">
        <v>1725</v>
      </c>
      <c r="Q20" s="2">
        <v>6666.666666666667</v>
      </c>
    </row>
    <row r="21" spans="1:17" x14ac:dyDescent="0.25">
      <c r="A21" t="s">
        <v>98</v>
      </c>
      <c r="B21" t="s">
        <v>92</v>
      </c>
      <c r="C21" s="1">
        <v>3.8177053055161198E-2</v>
      </c>
      <c r="D21" s="1">
        <v>0.47124453174715175</v>
      </c>
      <c r="E21" s="2">
        <f t="shared" si="0"/>
        <v>0.25471079240115646</v>
      </c>
      <c r="F21" s="1">
        <v>-0.28798507632408143</v>
      </c>
      <c r="G21" s="1">
        <v>-0.20715498083446376</v>
      </c>
      <c r="H21" s="2">
        <v>6.2</v>
      </c>
      <c r="I21" s="1">
        <v>-1.1238444396898202</v>
      </c>
      <c r="J21" s="2">
        <v>1.9</v>
      </c>
      <c r="K21" s="2">
        <v>54.4</v>
      </c>
      <c r="L21" s="2">
        <v>18.399999999999999</v>
      </c>
      <c r="M21" s="2">
        <v>16333.333333333334</v>
      </c>
      <c r="N21" s="2">
        <v>15000</v>
      </c>
      <c r="O21" s="2">
        <v>6666.666666666667</v>
      </c>
      <c r="P21" s="2">
        <v>1725</v>
      </c>
      <c r="Q21" s="2">
        <v>6666.666666666667</v>
      </c>
    </row>
    <row r="22" spans="1:17" x14ac:dyDescent="0.25">
      <c r="A22" t="s">
        <v>98</v>
      </c>
      <c r="B22" t="s">
        <v>92</v>
      </c>
      <c r="C22" s="1">
        <v>5.0595250689420571E-2</v>
      </c>
      <c r="D22" s="1">
        <v>0.45193712973511652</v>
      </c>
      <c r="E22" s="2">
        <f t="shared" si="0"/>
        <v>0.25126619021226854</v>
      </c>
      <c r="F22" s="1">
        <v>-0.22000613753161966</v>
      </c>
      <c r="G22" s="1">
        <v>-0.133465603642867</v>
      </c>
      <c r="H22" s="2">
        <v>6.4</v>
      </c>
      <c r="I22" s="1">
        <v>-1.1238444396898202</v>
      </c>
      <c r="J22" s="2">
        <v>1.85</v>
      </c>
      <c r="K22" s="2">
        <v>54.4</v>
      </c>
      <c r="L22" s="2">
        <v>18.399999999999999</v>
      </c>
      <c r="M22" s="2">
        <v>16333.333333333334</v>
      </c>
      <c r="N22" s="2">
        <v>15000</v>
      </c>
      <c r="O22" s="2">
        <v>6666.666666666667</v>
      </c>
      <c r="P22" s="2">
        <v>1725</v>
      </c>
      <c r="Q22" s="2">
        <v>6666.666666666667</v>
      </c>
    </row>
    <row r="23" spans="1:17" x14ac:dyDescent="0.25">
      <c r="A23" t="s">
        <v>98</v>
      </c>
      <c r="B23" t="s">
        <v>92</v>
      </c>
      <c r="C23" s="1">
        <v>-0.50496607042847053</v>
      </c>
      <c r="D23" s="1">
        <v>-0.68631827184921912</v>
      </c>
      <c r="E23" s="2">
        <f t="shared" si="0"/>
        <v>-0.59564217113884488</v>
      </c>
      <c r="F23" s="1">
        <v>3.6421083085051631</v>
      </c>
      <c r="G23" s="1">
        <v>2.7035630034183882</v>
      </c>
      <c r="H23" s="2">
        <v>15.9</v>
      </c>
      <c r="I23" s="1">
        <v>0.61543862173490227</v>
      </c>
      <c r="J23" s="2">
        <v>1.78</v>
      </c>
      <c r="K23" s="2">
        <v>52.4</v>
      </c>
      <c r="L23" s="2">
        <v>18.8</v>
      </c>
      <c r="M23" s="2">
        <v>14166.666666666666</v>
      </c>
      <c r="N23" s="2">
        <v>12666.666666666666</v>
      </c>
      <c r="O23" s="2">
        <v>6833.333333333333</v>
      </c>
      <c r="P23" s="2">
        <v>1635</v>
      </c>
      <c r="Q23" s="2">
        <v>6833.333333333333</v>
      </c>
    </row>
    <row r="24" spans="1:17" x14ac:dyDescent="0.25">
      <c r="A24" t="s">
        <v>98</v>
      </c>
      <c r="B24" t="s">
        <v>92</v>
      </c>
      <c r="C24" s="1">
        <v>0.5074994219157114</v>
      </c>
      <c r="D24" s="1">
        <v>1.0266317912234755</v>
      </c>
      <c r="E24" s="2">
        <f t="shared" si="0"/>
        <v>0.76706560656959344</v>
      </c>
      <c r="F24" s="1">
        <v>4.2288738854506116</v>
      </c>
      <c r="G24" s="1">
        <v>3.1574618901572369</v>
      </c>
      <c r="H24" s="2">
        <v>5.2</v>
      </c>
      <c r="I24" s="1">
        <v>0.61543862173490227</v>
      </c>
      <c r="J24" s="2">
        <v>1.74</v>
      </c>
      <c r="K24" s="2">
        <v>52.4</v>
      </c>
      <c r="L24" s="2">
        <v>18.8</v>
      </c>
      <c r="M24" s="2">
        <v>14166.666666666666</v>
      </c>
      <c r="N24" s="2">
        <v>12666.666666666666</v>
      </c>
      <c r="O24" s="2">
        <v>6833.333333333333</v>
      </c>
      <c r="P24" s="2">
        <v>1635</v>
      </c>
      <c r="Q24" s="2">
        <v>6833.333333333333</v>
      </c>
    </row>
    <row r="25" spans="1:17" x14ac:dyDescent="0.25">
      <c r="A25" t="s">
        <v>98</v>
      </c>
      <c r="B25" t="s">
        <v>92</v>
      </c>
      <c r="C25" s="1">
        <v>0.548876559260698</v>
      </c>
      <c r="D25" s="1">
        <v>1.1678459519337077</v>
      </c>
      <c r="E25" s="2">
        <f t="shared" si="0"/>
        <v>0.85836125559720289</v>
      </c>
      <c r="F25" s="1">
        <v>4.2386316278610252</v>
      </c>
      <c r="G25" s="1">
        <v>3.1650100978081048</v>
      </c>
      <c r="H25" s="2">
        <v>9.1</v>
      </c>
      <c r="I25" s="1">
        <v>0.61543862173490227</v>
      </c>
      <c r="J25" s="2">
        <v>1.9</v>
      </c>
      <c r="K25" s="2">
        <v>52.4</v>
      </c>
      <c r="L25" s="2">
        <v>18.8</v>
      </c>
      <c r="M25" s="2">
        <v>14166.666666666666</v>
      </c>
      <c r="N25" s="2">
        <v>12666.666666666666</v>
      </c>
      <c r="O25" s="2">
        <v>6833.333333333333</v>
      </c>
      <c r="P25" s="2">
        <v>1635</v>
      </c>
      <c r="Q25" s="2">
        <v>6833.333333333333</v>
      </c>
    </row>
    <row r="26" spans="1:17" x14ac:dyDescent="0.25">
      <c r="A26" t="s">
        <v>98</v>
      </c>
      <c r="B26" t="s">
        <v>92</v>
      </c>
      <c r="C26" s="1">
        <v>-8.3443728284251145E-2</v>
      </c>
      <c r="D26" s="1">
        <v>0.34743212482918784</v>
      </c>
      <c r="E26" s="2">
        <f t="shared" si="0"/>
        <v>0.13199419827246833</v>
      </c>
      <c r="F26" s="1">
        <v>-0.26041941596391438</v>
      </c>
      <c r="G26" s="1">
        <v>-0.16143696737445212</v>
      </c>
      <c r="H26" s="1">
        <v>10.532999999999999</v>
      </c>
      <c r="I26" s="1">
        <v>0.61543862173490227</v>
      </c>
      <c r="J26" s="2">
        <v>2.2000000000000002</v>
      </c>
      <c r="K26" s="2">
        <v>54.4</v>
      </c>
      <c r="L26" s="2">
        <v>17.600000000000001</v>
      </c>
      <c r="M26" s="2">
        <v>11333.333333333334</v>
      </c>
      <c r="N26" s="2">
        <v>10333.333333333334</v>
      </c>
      <c r="O26" s="2">
        <v>5166.666666666667</v>
      </c>
      <c r="P26" s="2">
        <v>1405</v>
      </c>
      <c r="Q26" s="2">
        <v>5166.666666666667</v>
      </c>
    </row>
    <row r="27" spans="1:17" x14ac:dyDescent="0.25">
      <c r="A27" t="s">
        <v>98</v>
      </c>
      <c r="B27" t="s">
        <v>92</v>
      </c>
      <c r="C27" s="1">
        <v>3.8779449900559967E-2</v>
      </c>
      <c r="D27" s="1">
        <v>0.57513772599460733</v>
      </c>
      <c r="E27" s="2">
        <f t="shared" si="0"/>
        <v>0.30695858794758363</v>
      </c>
      <c r="F27" s="1">
        <v>-0.2739505275407158</v>
      </c>
      <c r="G27" s="1">
        <v>-0.17658677290111885</v>
      </c>
      <c r="H27" s="1">
        <v>10.532999999999999</v>
      </c>
      <c r="I27" s="1">
        <v>0.61543862173490227</v>
      </c>
      <c r="J27" s="2">
        <v>1.97</v>
      </c>
      <c r="K27" s="2">
        <v>54.4</v>
      </c>
      <c r="L27" s="2">
        <v>17.600000000000001</v>
      </c>
      <c r="M27" s="2">
        <v>11333.333333333334</v>
      </c>
      <c r="N27" s="2">
        <v>10333.333333333334</v>
      </c>
      <c r="O27" s="2">
        <v>5166.666666666667</v>
      </c>
      <c r="P27" s="2">
        <v>1405</v>
      </c>
      <c r="Q27" s="2">
        <v>5166.666666666667</v>
      </c>
    </row>
    <row r="28" spans="1:17" x14ac:dyDescent="0.25">
      <c r="A28" t="s">
        <v>98</v>
      </c>
      <c r="B28" t="s">
        <v>92</v>
      </c>
      <c r="C28" s="1">
        <v>0.29572605160640136</v>
      </c>
      <c r="D28" s="1">
        <v>0.96755979418617166</v>
      </c>
      <c r="E28" s="2">
        <f t="shared" si="0"/>
        <v>0.63164292289628654</v>
      </c>
      <c r="F28" s="1">
        <v>-0.26701995819650037</v>
      </c>
      <c r="G28" s="1">
        <v>-0.16882711641185069</v>
      </c>
      <c r="H28" s="1">
        <v>10.532999999999999</v>
      </c>
      <c r="I28" s="1">
        <v>0.61543862173490227</v>
      </c>
      <c r="J28" s="2">
        <v>2</v>
      </c>
      <c r="K28" s="2">
        <v>54.4</v>
      </c>
      <c r="L28" s="2">
        <v>17.600000000000001</v>
      </c>
      <c r="M28" s="2">
        <v>11333.333333333334</v>
      </c>
      <c r="N28" s="2">
        <v>10333.333333333334</v>
      </c>
      <c r="O28" s="2">
        <v>5166.666666666667</v>
      </c>
      <c r="P28" s="2">
        <v>1405</v>
      </c>
      <c r="Q28" s="2">
        <v>5166.666666666667</v>
      </c>
    </row>
    <row r="29" spans="1:17" x14ac:dyDescent="0.25">
      <c r="A29" t="s">
        <v>98</v>
      </c>
      <c r="B29" t="s">
        <v>95</v>
      </c>
      <c r="C29" s="1">
        <v>2.4847660050762346</v>
      </c>
      <c r="D29" s="1">
        <v>2.5121669277305148</v>
      </c>
      <c r="E29" s="2">
        <f t="shared" si="0"/>
        <v>2.4984664664033747</v>
      </c>
      <c r="F29" s="1">
        <v>-0.32181191668013909</v>
      </c>
      <c r="G29" s="1">
        <v>-0.35497073671323326</v>
      </c>
      <c r="H29" s="2">
        <v>3.1</v>
      </c>
      <c r="I29" s="1">
        <v>-0.77598782740487526</v>
      </c>
      <c r="J29" s="2">
        <v>1.8</v>
      </c>
      <c r="K29" s="2">
        <v>55.8</v>
      </c>
      <c r="L29" s="2">
        <v>19.8</v>
      </c>
      <c r="M29" s="2">
        <v>17000</v>
      </c>
      <c r="N29" s="2">
        <v>18666.666666666668</v>
      </c>
      <c r="O29" s="2">
        <v>9166.6666666666661</v>
      </c>
      <c r="P29" s="2">
        <v>1950</v>
      </c>
      <c r="Q29" s="2">
        <v>9166.6666666666661</v>
      </c>
    </row>
    <row r="30" spans="1:17" x14ac:dyDescent="0.25">
      <c r="A30" t="s">
        <v>98</v>
      </c>
      <c r="B30" t="s">
        <v>95</v>
      </c>
      <c r="C30" s="1">
        <v>2.4847660050762346</v>
      </c>
      <c r="D30" s="1">
        <v>2.5121669277305148</v>
      </c>
      <c r="E30" s="2">
        <f t="shared" si="0"/>
        <v>2.4984664664033747</v>
      </c>
      <c r="F30" s="1">
        <v>-0.28050414047610567</v>
      </c>
      <c r="G30" s="1">
        <v>-0.32217576084064697</v>
      </c>
      <c r="H30" s="2">
        <v>4</v>
      </c>
      <c r="I30" s="1">
        <v>-0.77598782740487526</v>
      </c>
      <c r="J30" s="2">
        <v>1.65</v>
      </c>
      <c r="K30" s="2">
        <v>55.8</v>
      </c>
      <c r="L30" s="2">
        <v>19.8</v>
      </c>
      <c r="M30" s="2">
        <v>17000</v>
      </c>
      <c r="N30" s="2">
        <v>18666.666666666668</v>
      </c>
      <c r="O30" s="2">
        <v>9166.6666666666661</v>
      </c>
      <c r="P30" s="2">
        <v>1950</v>
      </c>
      <c r="Q30" s="2">
        <v>9166.6666666666661</v>
      </c>
    </row>
    <row r="31" spans="1:17" x14ac:dyDescent="0.25">
      <c r="A31" t="s">
        <v>98</v>
      </c>
      <c r="B31" t="s">
        <v>95</v>
      </c>
      <c r="C31" s="1">
        <v>-3.8612693480896923E-2</v>
      </c>
      <c r="D31" s="1">
        <v>0.34894332297041208</v>
      </c>
      <c r="E31" s="2">
        <f t="shared" si="0"/>
        <v>0.15516531474475759</v>
      </c>
      <c r="F31" s="1">
        <v>-0.32311294900152471</v>
      </c>
      <c r="G31" s="1">
        <v>-0.35600364933914203</v>
      </c>
      <c r="H31" s="2">
        <v>8.9</v>
      </c>
      <c r="I31" s="1">
        <v>-0.77598782740487526</v>
      </c>
      <c r="J31" s="2">
        <v>1.7</v>
      </c>
      <c r="K31" s="2">
        <v>55.8</v>
      </c>
      <c r="L31" s="2">
        <v>19.8</v>
      </c>
      <c r="M31" s="2">
        <v>17000</v>
      </c>
      <c r="N31" s="2">
        <v>18666.666666666668</v>
      </c>
      <c r="O31" s="2">
        <v>9166.6666666666661</v>
      </c>
      <c r="P31" s="2">
        <v>1950</v>
      </c>
      <c r="Q31" s="2">
        <v>9166.6666666666661</v>
      </c>
    </row>
    <row r="32" spans="1:17" x14ac:dyDescent="0.25">
      <c r="A32" t="s">
        <v>98</v>
      </c>
      <c r="B32" t="s">
        <v>95</v>
      </c>
      <c r="C32" s="1">
        <v>-0.60334876318427022</v>
      </c>
      <c r="D32" s="1">
        <v>-0.89376597022433413</v>
      </c>
      <c r="E32" s="2">
        <f t="shared" si="0"/>
        <v>-0.74855736670430217</v>
      </c>
      <c r="F32" s="1">
        <v>-0.28583150355937176</v>
      </c>
      <c r="G32" s="1">
        <v>-0.32853831458598104</v>
      </c>
      <c r="H32" s="2">
        <v>12.2</v>
      </c>
      <c r="I32" s="1">
        <v>0.2675820094499583</v>
      </c>
      <c r="J32" s="2">
        <v>1.95</v>
      </c>
      <c r="K32" s="2">
        <v>57.6</v>
      </c>
      <c r="L32" s="2">
        <v>19.2</v>
      </c>
      <c r="M32" s="2">
        <v>12000</v>
      </c>
      <c r="N32" s="2">
        <v>12166.666666666666</v>
      </c>
      <c r="O32" s="2">
        <v>9000</v>
      </c>
      <c r="P32" s="2">
        <v>2640</v>
      </c>
      <c r="Q32" s="2">
        <v>9000</v>
      </c>
    </row>
    <row r="33" spans="1:17" x14ac:dyDescent="0.25">
      <c r="A33" t="s">
        <v>98</v>
      </c>
      <c r="B33" t="s">
        <v>95</v>
      </c>
      <c r="C33" s="1">
        <v>-0.63487457449053797</v>
      </c>
      <c r="D33" s="1">
        <v>-0.92707738261647565</v>
      </c>
      <c r="E33" s="2">
        <f t="shared" si="0"/>
        <v>-0.78097597855350687</v>
      </c>
      <c r="F33" s="1">
        <v>-0.31520391649437685</v>
      </c>
      <c r="G33" s="1">
        <v>-0.35170811139754993</v>
      </c>
      <c r="H33" s="2">
        <v>7.4</v>
      </c>
      <c r="I33" s="1">
        <v>0.2675820094499583</v>
      </c>
      <c r="J33" s="2">
        <v>2.25</v>
      </c>
      <c r="K33" s="2">
        <v>57.6</v>
      </c>
      <c r="L33" s="2">
        <v>19.2</v>
      </c>
      <c r="M33" s="2">
        <v>12000</v>
      </c>
      <c r="N33" s="2">
        <v>12166.666666666666</v>
      </c>
      <c r="O33" s="2">
        <v>9000</v>
      </c>
      <c r="P33" s="2">
        <v>2640</v>
      </c>
      <c r="Q33" s="2">
        <v>9000</v>
      </c>
    </row>
    <row r="34" spans="1:17" x14ac:dyDescent="0.25">
      <c r="A34" t="s">
        <v>98</v>
      </c>
      <c r="B34" t="s">
        <v>95</v>
      </c>
      <c r="C34" s="1">
        <v>-0.63755890930273051</v>
      </c>
      <c r="D34" s="1">
        <v>-0.93297864491719129</v>
      </c>
      <c r="E34" s="2">
        <f t="shared" si="0"/>
        <v>-0.7852687771099609</v>
      </c>
      <c r="F34" s="1">
        <v>-0.1960641291962068</v>
      </c>
      <c r="G34" s="1">
        <v>-0.25772725017309533</v>
      </c>
      <c r="H34" s="2">
        <v>9.8000000000000007</v>
      </c>
      <c r="I34" s="1">
        <v>0.2675820094499583</v>
      </c>
      <c r="J34" s="2">
        <v>2</v>
      </c>
      <c r="K34" s="2">
        <v>57.6</v>
      </c>
      <c r="L34" s="2">
        <v>19.2</v>
      </c>
      <c r="M34" s="2">
        <v>12000</v>
      </c>
      <c r="N34" s="2">
        <v>12166.666666666666</v>
      </c>
      <c r="O34" s="2">
        <v>9000</v>
      </c>
      <c r="P34" s="2">
        <v>2640</v>
      </c>
      <c r="Q34" s="2">
        <v>9000</v>
      </c>
    </row>
    <row r="35" spans="1:17" x14ac:dyDescent="0.25">
      <c r="A35" t="s">
        <v>98</v>
      </c>
      <c r="B35" t="s">
        <v>95</v>
      </c>
      <c r="C35" s="1">
        <v>-0.41425620780813993</v>
      </c>
      <c r="D35" s="1">
        <v>0.98775419257901431</v>
      </c>
      <c r="E35" s="2">
        <f t="shared" si="0"/>
        <v>0.28674899238543716</v>
      </c>
      <c r="F35" s="1">
        <v>-0.15950813458713151</v>
      </c>
      <c r="G35" s="1">
        <v>-0.20113131249202729</v>
      </c>
      <c r="H35" s="1">
        <v>10.532999999999999</v>
      </c>
      <c r="I35" s="1">
        <v>-0.34116706204869518</v>
      </c>
      <c r="J35" s="2">
        <v>1.95</v>
      </c>
      <c r="K35" s="2">
        <v>55.6</v>
      </c>
      <c r="L35" s="2">
        <v>20.399999999999999</v>
      </c>
      <c r="M35" s="2">
        <v>15833.333333333334</v>
      </c>
      <c r="N35" s="2">
        <v>12833.333333333334</v>
      </c>
      <c r="O35" s="2">
        <v>4166.666666666667</v>
      </c>
      <c r="P35" s="2">
        <v>1128.3333333333333</v>
      </c>
      <c r="Q35" s="2">
        <v>4166.666666666667</v>
      </c>
    </row>
    <row r="36" spans="1:17" x14ac:dyDescent="0.25">
      <c r="A36" t="s">
        <v>98</v>
      </c>
      <c r="B36" t="s">
        <v>95</v>
      </c>
      <c r="C36" s="1">
        <v>-0.22934266379266396</v>
      </c>
      <c r="D36" s="1">
        <v>9.9388595006743435E-2</v>
      </c>
      <c r="E36" s="2">
        <f t="shared" si="0"/>
        <v>-6.4977034392960265E-2</v>
      </c>
      <c r="F36" s="1">
        <v>-0.22716181529924689</v>
      </c>
      <c r="G36" s="1">
        <v>-0.25794150691697981</v>
      </c>
      <c r="H36" s="1">
        <v>10.532999999999999</v>
      </c>
      <c r="I36" s="1">
        <v>-0.34116706204869518</v>
      </c>
      <c r="J36" s="2">
        <v>1.85</v>
      </c>
      <c r="K36" s="2">
        <v>55.6</v>
      </c>
      <c r="L36" s="2">
        <v>20.399999999999999</v>
      </c>
      <c r="M36" s="2">
        <v>15833.333333333334</v>
      </c>
      <c r="N36" s="2">
        <v>12833.333333333334</v>
      </c>
      <c r="O36" s="2">
        <v>4166.666666666667</v>
      </c>
      <c r="P36" s="2">
        <v>1128.3333333333333</v>
      </c>
      <c r="Q36" s="2">
        <v>4166.666666666667</v>
      </c>
    </row>
    <row r="37" spans="1:17" x14ac:dyDescent="0.25">
      <c r="A37" t="s">
        <v>98</v>
      </c>
      <c r="B37" t="s">
        <v>95</v>
      </c>
      <c r="C37" s="1">
        <v>4.396556610752576</v>
      </c>
      <c r="D37" s="1">
        <v>3.1530982246592427</v>
      </c>
      <c r="E37" s="2">
        <f t="shared" si="0"/>
        <v>3.7748274177059091</v>
      </c>
      <c r="F37" s="1">
        <v>-0.22488500873681999</v>
      </c>
      <c r="G37" s="1">
        <v>-0.25602962537383261</v>
      </c>
      <c r="H37" s="1">
        <v>10.532999999999999</v>
      </c>
      <c r="I37" s="1">
        <v>-0.34116706204869518</v>
      </c>
      <c r="J37" s="2">
        <v>1.77</v>
      </c>
      <c r="K37" s="2">
        <v>55.6</v>
      </c>
      <c r="L37" s="2">
        <v>20.399999999999999</v>
      </c>
      <c r="M37" s="2">
        <v>15833.333333333334</v>
      </c>
      <c r="N37" s="2">
        <v>12833.333333333334</v>
      </c>
      <c r="O37" s="2">
        <v>4166.666666666667</v>
      </c>
      <c r="P37" s="2">
        <v>1128.3333333333333</v>
      </c>
      <c r="Q37" s="2">
        <v>4166.666666666667</v>
      </c>
    </row>
    <row r="38" spans="1:17" x14ac:dyDescent="0.25">
      <c r="A38" t="s">
        <v>96</v>
      </c>
      <c r="B38" t="s">
        <v>93</v>
      </c>
      <c r="C38" s="1">
        <v>2.2985696127607871</v>
      </c>
      <c r="D38" s="1">
        <v>2.4419264174745683</v>
      </c>
      <c r="E38" s="2">
        <f t="shared" ref="E38:E66" si="1">(C38+D38)/2</f>
        <v>2.3702480151176779</v>
      </c>
      <c r="F38" s="1">
        <v>-0.38426146810670569</v>
      </c>
      <c r="G38" s="1">
        <v>-0.26745125537185593</v>
      </c>
      <c r="H38" s="2">
        <v>5.4</v>
      </c>
      <c r="I38" s="1">
        <v>0.2675820094499583</v>
      </c>
      <c r="J38" s="2">
        <v>2.1</v>
      </c>
      <c r="K38" s="2">
        <v>52.2</v>
      </c>
      <c r="L38" s="2">
        <v>24.2</v>
      </c>
      <c r="M38" s="2">
        <v>12500</v>
      </c>
      <c r="N38" s="2">
        <v>13333.333333333334</v>
      </c>
      <c r="O38" s="2">
        <v>10500</v>
      </c>
      <c r="P38" s="2">
        <v>2833.3333333333335</v>
      </c>
      <c r="Q38" s="2">
        <v>10500</v>
      </c>
    </row>
    <row r="39" spans="1:17" x14ac:dyDescent="0.25">
      <c r="A39" t="s">
        <v>96</v>
      </c>
      <c r="B39" t="s">
        <v>93</v>
      </c>
      <c r="C39" s="1">
        <v>1.0934996838620841</v>
      </c>
      <c r="D39" s="1">
        <v>1.833783008880858</v>
      </c>
      <c r="E39" s="2">
        <f t="shared" si="1"/>
        <v>1.463641346371471</v>
      </c>
      <c r="F39" s="1">
        <v>-0.35531349895584824</v>
      </c>
      <c r="G39" s="1">
        <v>-0.23209386163884366</v>
      </c>
      <c r="H39" s="2">
        <v>4.2</v>
      </c>
      <c r="I39" s="1">
        <v>0.2675820094499583</v>
      </c>
      <c r="J39" s="2">
        <v>2.15</v>
      </c>
      <c r="K39" s="2">
        <v>52.2</v>
      </c>
      <c r="L39" s="2">
        <v>24.2</v>
      </c>
      <c r="M39" s="2">
        <v>12500</v>
      </c>
      <c r="N39" s="2">
        <v>13333.333333333334</v>
      </c>
      <c r="O39" s="2">
        <v>10500</v>
      </c>
      <c r="P39" s="2">
        <v>2833.3333333333335</v>
      </c>
      <c r="Q39" s="2">
        <v>10500</v>
      </c>
    </row>
    <row r="40" spans="1:17" x14ac:dyDescent="0.25">
      <c r="A40" t="s">
        <v>96</v>
      </c>
      <c r="B40" t="s">
        <v>93</v>
      </c>
      <c r="C40" s="1">
        <v>-0.43437594367584259</v>
      </c>
      <c r="D40" s="1">
        <v>-0.37772458978676293</v>
      </c>
      <c r="E40" s="2">
        <f t="shared" si="1"/>
        <v>-0.40605026673130273</v>
      </c>
      <c r="F40" s="1">
        <v>-0.37580475801769075</v>
      </c>
      <c r="G40" s="1">
        <v>-0.25712212911277355</v>
      </c>
      <c r="H40" s="2">
        <v>38.5</v>
      </c>
      <c r="I40" s="1">
        <v>0.2675820094499583</v>
      </c>
      <c r="J40" s="2">
        <v>2.1</v>
      </c>
      <c r="K40" s="2">
        <v>52.2</v>
      </c>
      <c r="L40" s="2">
        <v>24.2</v>
      </c>
      <c r="M40" s="2">
        <v>12500</v>
      </c>
      <c r="N40" s="2">
        <v>13333.333333333334</v>
      </c>
      <c r="O40" s="2">
        <v>10500</v>
      </c>
      <c r="P40" s="2">
        <v>2833.3333333333335</v>
      </c>
      <c r="Q40" s="2">
        <v>10500</v>
      </c>
    </row>
    <row r="41" spans="1:17" x14ac:dyDescent="0.25">
      <c r="A41" t="s">
        <v>96</v>
      </c>
      <c r="B41" t="s">
        <v>93</v>
      </c>
      <c r="C41" s="1">
        <v>-0.51727916452625811</v>
      </c>
      <c r="D41" s="1">
        <v>-0.74462460204558178</v>
      </c>
      <c r="E41" s="2">
        <f t="shared" si="1"/>
        <v>-0.63095188328592</v>
      </c>
      <c r="F41" s="1">
        <v>0.23860775575723633</v>
      </c>
      <c r="G41" s="1">
        <v>0.55575527784656575</v>
      </c>
      <c r="H41" s="2">
        <v>8.4</v>
      </c>
      <c r="I41" s="1">
        <v>1.311151846304792</v>
      </c>
      <c r="J41" s="2">
        <v>2.2999999999999998</v>
      </c>
      <c r="K41" s="2">
        <v>48</v>
      </c>
      <c r="L41" s="2">
        <v>22</v>
      </c>
      <c r="M41" s="2">
        <v>13333.333333333334</v>
      </c>
      <c r="N41" s="2">
        <v>13666.666666666666</v>
      </c>
      <c r="O41" s="2">
        <v>11000</v>
      </c>
      <c r="P41" s="2">
        <v>2916.6666666666665</v>
      </c>
      <c r="Q41" s="2">
        <v>11000</v>
      </c>
    </row>
    <row r="42" spans="1:17" x14ac:dyDescent="0.25">
      <c r="A42" t="s">
        <v>96</v>
      </c>
      <c r="B42" t="s">
        <v>93</v>
      </c>
      <c r="C42" s="1">
        <v>-0.60735661520082695</v>
      </c>
      <c r="D42" s="1">
        <v>-0.91777218135262617</v>
      </c>
      <c r="E42" s="2">
        <f t="shared" si="1"/>
        <v>-0.76256439827672651</v>
      </c>
      <c r="F42" s="1">
        <v>-0.23984688043276933</v>
      </c>
      <c r="G42" s="1">
        <v>-6.0289372146834302E-2</v>
      </c>
      <c r="H42" s="2">
        <v>9.1</v>
      </c>
      <c r="I42" s="1">
        <v>1.311151846304792</v>
      </c>
      <c r="J42" s="2">
        <v>2.2000000000000002</v>
      </c>
      <c r="K42" s="2">
        <v>48</v>
      </c>
      <c r="L42" s="2">
        <v>22</v>
      </c>
      <c r="M42" s="2">
        <v>13333.333333333334</v>
      </c>
      <c r="N42" s="2">
        <v>13666.666666666666</v>
      </c>
      <c r="O42" s="2">
        <v>11000</v>
      </c>
      <c r="P42" s="2">
        <v>2916.6666666666665</v>
      </c>
      <c r="Q42" s="2">
        <v>11000</v>
      </c>
    </row>
    <row r="43" spans="1:17" x14ac:dyDescent="0.25">
      <c r="A43" t="s">
        <v>96</v>
      </c>
      <c r="B43" t="s">
        <v>93</v>
      </c>
      <c r="C43" s="1">
        <v>1.5741120410289884</v>
      </c>
      <c r="D43" s="1">
        <v>2.1394776893843885</v>
      </c>
      <c r="E43" s="2">
        <f t="shared" si="1"/>
        <v>1.8567948652066883</v>
      </c>
      <c r="F43" s="1">
        <v>-0.29514075409170865</v>
      </c>
      <c r="G43" s="1">
        <v>-0.13148419913451426</v>
      </c>
      <c r="H43" s="2">
        <v>38.5</v>
      </c>
      <c r="I43" s="1">
        <v>1.311151846304792</v>
      </c>
      <c r="J43" s="2">
        <v>2.1</v>
      </c>
      <c r="K43" s="2">
        <v>48</v>
      </c>
      <c r="L43" s="2">
        <v>22</v>
      </c>
      <c r="M43" s="2">
        <v>13333.333333333334</v>
      </c>
      <c r="N43" s="2">
        <v>13666.666666666666</v>
      </c>
      <c r="O43" s="2">
        <v>11000</v>
      </c>
      <c r="P43" s="2">
        <v>2916.6666666666665</v>
      </c>
      <c r="Q43" s="2">
        <v>11000</v>
      </c>
    </row>
    <row r="44" spans="1:17" x14ac:dyDescent="0.25">
      <c r="A44" t="s">
        <v>96</v>
      </c>
      <c r="B44" t="s">
        <v>93</v>
      </c>
      <c r="C44" s="1">
        <v>4.8609075314414038E-2</v>
      </c>
      <c r="D44" s="1">
        <v>0.3055584609939081</v>
      </c>
      <c r="E44" s="2">
        <f t="shared" si="1"/>
        <v>0.17708376815416108</v>
      </c>
      <c r="F44" s="1">
        <v>-4.3716257983704057E-2</v>
      </c>
      <c r="G44" s="1">
        <v>0.14176422844429046</v>
      </c>
      <c r="H44" s="1">
        <v>10.532999999999999</v>
      </c>
      <c r="I44" s="1">
        <v>0.1806178563787221</v>
      </c>
      <c r="J44" s="2">
        <v>2.1</v>
      </c>
      <c r="K44" s="2">
        <v>52.02</v>
      </c>
      <c r="L44" s="2">
        <v>22</v>
      </c>
      <c r="M44" s="2">
        <v>14166.666666666666</v>
      </c>
      <c r="N44" s="2">
        <v>14333.333333333334</v>
      </c>
      <c r="O44" s="2">
        <v>8500</v>
      </c>
      <c r="P44" s="2">
        <v>2083.3333333333335</v>
      </c>
      <c r="Q44" s="2">
        <v>8500</v>
      </c>
    </row>
    <row r="45" spans="1:17" x14ac:dyDescent="0.25">
      <c r="A45" t="s">
        <v>96</v>
      </c>
      <c r="B45" t="s">
        <v>93</v>
      </c>
      <c r="C45" s="1">
        <v>-0.44038702847730327</v>
      </c>
      <c r="D45" s="1">
        <v>-0.66103835870029148</v>
      </c>
      <c r="E45" s="2">
        <f t="shared" si="1"/>
        <v>-0.55071269358879738</v>
      </c>
      <c r="F45" s="1">
        <v>-0.1227539715079541</v>
      </c>
      <c r="G45" s="1">
        <v>4.6031105356508117E-2</v>
      </c>
      <c r="H45" s="1">
        <v>10.532999999999999</v>
      </c>
      <c r="I45" s="1">
        <v>0.1806178563787221</v>
      </c>
      <c r="J45" s="2">
        <v>2.08</v>
      </c>
      <c r="K45" s="2">
        <v>52.02</v>
      </c>
      <c r="L45" s="2">
        <v>22</v>
      </c>
      <c r="M45" s="2">
        <v>14166.666666666666</v>
      </c>
      <c r="N45" s="2">
        <v>14333.333333333334</v>
      </c>
      <c r="O45" s="2">
        <v>8500</v>
      </c>
      <c r="P45" s="2">
        <v>2083.3333333333335</v>
      </c>
      <c r="Q45" s="2">
        <v>8500</v>
      </c>
    </row>
    <row r="46" spans="1:17" x14ac:dyDescent="0.25">
      <c r="A46" t="s">
        <v>96</v>
      </c>
      <c r="B46" t="s">
        <v>93</v>
      </c>
      <c r="C46" s="1">
        <v>0.12866664349774434</v>
      </c>
      <c r="D46" s="1">
        <v>0.57791333283000956</v>
      </c>
      <c r="E46" s="2">
        <f t="shared" si="1"/>
        <v>0.35328998816387697</v>
      </c>
      <c r="F46" s="1">
        <v>-9.2830228116057539E-2</v>
      </c>
      <c r="G46" s="1">
        <v>8.227574455023702E-2</v>
      </c>
      <c r="H46" s="1">
        <v>10.532999999999999</v>
      </c>
      <c r="I46" s="1">
        <v>0.1806178563787221</v>
      </c>
      <c r="J46" s="2">
        <v>2</v>
      </c>
      <c r="K46" s="2">
        <v>52.02</v>
      </c>
      <c r="L46" s="2">
        <v>22</v>
      </c>
      <c r="M46" s="2">
        <v>14166.666666666666</v>
      </c>
      <c r="N46" s="2">
        <v>14333.333333333334</v>
      </c>
      <c r="O46" s="2">
        <v>8500</v>
      </c>
      <c r="P46" s="2">
        <v>2083.3333333333335</v>
      </c>
      <c r="Q46" s="2">
        <v>8500</v>
      </c>
    </row>
    <row r="47" spans="1:17" x14ac:dyDescent="0.25">
      <c r="A47" t="s">
        <v>96</v>
      </c>
      <c r="B47" t="s">
        <v>94</v>
      </c>
      <c r="C47" s="1">
        <v>0.76968040028980356</v>
      </c>
      <c r="D47" s="1">
        <v>1.4994540406730408</v>
      </c>
      <c r="E47" s="2">
        <f t="shared" si="1"/>
        <v>1.1345672204814221</v>
      </c>
      <c r="F47" s="1">
        <v>-0.34100214342059382</v>
      </c>
      <c r="G47" s="1">
        <v>-0.12199928031006846</v>
      </c>
      <c r="H47" s="2">
        <v>5.4</v>
      </c>
      <c r="I47" s="1">
        <v>-1.4717010519747651</v>
      </c>
      <c r="J47" s="2">
        <v>2.1</v>
      </c>
      <c r="K47" s="2">
        <v>51.6</v>
      </c>
      <c r="L47" s="2">
        <v>22.8</v>
      </c>
      <c r="M47" s="2">
        <v>12000</v>
      </c>
      <c r="N47" s="2">
        <v>11333.333333333334</v>
      </c>
      <c r="O47" s="2">
        <v>8833.3333333333339</v>
      </c>
      <c r="P47" s="2">
        <v>2300</v>
      </c>
      <c r="Q47" s="2">
        <v>8833.3333333333339</v>
      </c>
    </row>
    <row r="48" spans="1:17" x14ac:dyDescent="0.25">
      <c r="A48" t="s">
        <v>96</v>
      </c>
      <c r="B48" t="s">
        <v>94</v>
      </c>
      <c r="C48" s="1">
        <v>-4.6519517441967632E-2</v>
      </c>
      <c r="D48" s="1">
        <v>0.46402671486491176</v>
      </c>
      <c r="E48" s="2">
        <f t="shared" si="1"/>
        <v>0.20875359871147206</v>
      </c>
      <c r="F48" s="1">
        <v>-0.37255217721422457</v>
      </c>
      <c r="G48" s="1">
        <v>-0.16856311391070741</v>
      </c>
      <c r="H48" s="2">
        <v>6.4</v>
      </c>
      <c r="I48" s="1">
        <v>-1.4717010519747651</v>
      </c>
      <c r="J48" s="2">
        <v>2.1</v>
      </c>
      <c r="K48" s="2">
        <v>51.6</v>
      </c>
      <c r="L48" s="2">
        <v>22.8</v>
      </c>
      <c r="M48" s="2">
        <v>12000</v>
      </c>
      <c r="N48" s="2">
        <v>11333.333333333334</v>
      </c>
      <c r="O48" s="2">
        <v>8833.3333333333339</v>
      </c>
      <c r="P48" s="2">
        <v>2300</v>
      </c>
      <c r="Q48" s="2">
        <v>8833.3333333333339</v>
      </c>
    </row>
    <row r="49" spans="1:17" x14ac:dyDescent="0.25">
      <c r="A49" t="s">
        <v>96</v>
      </c>
      <c r="B49" t="s">
        <v>94</v>
      </c>
      <c r="C49" s="1">
        <v>1.980571400652084</v>
      </c>
      <c r="D49" s="1">
        <v>2.3499668869907824</v>
      </c>
      <c r="E49" s="2">
        <f t="shared" si="1"/>
        <v>2.1652691438214333</v>
      </c>
      <c r="F49" s="1">
        <v>-0.25188142940559682</v>
      </c>
      <c r="G49" s="1">
        <v>9.5315486236936097E-3</v>
      </c>
      <c r="H49" s="2">
        <v>32.700000000000003</v>
      </c>
      <c r="I49" s="1">
        <v>-1.4717010519747651</v>
      </c>
      <c r="J49" s="2">
        <v>2</v>
      </c>
      <c r="K49" s="2">
        <v>51.6</v>
      </c>
      <c r="L49" s="2">
        <v>22.8</v>
      </c>
      <c r="M49" s="2">
        <v>12000</v>
      </c>
      <c r="N49" s="2">
        <v>11333.333333333334</v>
      </c>
      <c r="O49" s="2">
        <v>8833.3333333333339</v>
      </c>
      <c r="P49" s="2">
        <v>2300</v>
      </c>
      <c r="Q49" s="2">
        <v>8833.3333333333339</v>
      </c>
    </row>
    <row r="50" spans="1:17" x14ac:dyDescent="0.25">
      <c r="A50" t="s">
        <v>96</v>
      </c>
      <c r="B50" t="s">
        <v>94</v>
      </c>
      <c r="C50" s="1">
        <v>1.7850173893472741</v>
      </c>
      <c r="D50" s="1">
        <v>2.2448727884466106</v>
      </c>
      <c r="E50" s="2">
        <f t="shared" si="1"/>
        <v>2.0149450888969422</v>
      </c>
      <c r="F50" s="1">
        <v>-0.38458672618705209</v>
      </c>
      <c r="G50" s="1">
        <v>-0.29067523636783743</v>
      </c>
      <c r="H50" s="2">
        <v>5.0999999999999996</v>
      </c>
      <c r="I50" s="1">
        <v>1.3981159993760282</v>
      </c>
      <c r="J50" s="2">
        <v>2.2000000000000002</v>
      </c>
      <c r="K50" s="2">
        <v>51.8</v>
      </c>
      <c r="L50" s="2">
        <v>25.6</v>
      </c>
      <c r="M50" s="2">
        <v>13666.666666666666</v>
      </c>
      <c r="N50" s="2">
        <v>13000</v>
      </c>
      <c r="O50" s="2">
        <v>10666.666666666666</v>
      </c>
      <c r="P50" s="2">
        <v>2733.3333333333335</v>
      </c>
      <c r="Q50" s="2">
        <v>10666.666666666666</v>
      </c>
    </row>
    <row r="51" spans="1:17" x14ac:dyDescent="0.25">
      <c r="A51" t="s">
        <v>96</v>
      </c>
      <c r="B51" t="s">
        <v>94</v>
      </c>
      <c r="C51" s="1">
        <v>0.55098203573529747</v>
      </c>
      <c r="D51" s="1">
        <v>1.2710385326254265</v>
      </c>
      <c r="E51" s="2">
        <f t="shared" si="1"/>
        <v>0.91101028418036201</v>
      </c>
      <c r="F51" s="1">
        <v>-0.2398468804327672</v>
      </c>
      <c r="G51" s="1">
        <v>-0.12420084087490438</v>
      </c>
      <c r="H51" s="2">
        <v>19.399999999999999</v>
      </c>
      <c r="I51" s="1">
        <v>1.3981159993760282</v>
      </c>
      <c r="J51" s="2">
        <v>2.25</v>
      </c>
      <c r="K51" s="2">
        <v>51.8</v>
      </c>
      <c r="L51" s="2">
        <v>25.6</v>
      </c>
      <c r="M51" s="2">
        <v>13666.666666666666</v>
      </c>
      <c r="N51" s="2">
        <v>13000</v>
      </c>
      <c r="O51" s="2">
        <v>10666.666666666666</v>
      </c>
      <c r="P51" s="2">
        <v>2733.3333333333335</v>
      </c>
      <c r="Q51" s="2">
        <v>10666.666666666666</v>
      </c>
    </row>
    <row r="52" spans="1:17" x14ac:dyDescent="0.25">
      <c r="A52" t="s">
        <v>96</v>
      </c>
      <c r="B52" t="s">
        <v>94</v>
      </c>
      <c r="C52" s="1">
        <v>0.12647148710603984</v>
      </c>
      <c r="D52" s="1">
        <v>0.44779643650224332</v>
      </c>
      <c r="E52" s="2">
        <f t="shared" si="1"/>
        <v>0.28713396180414158</v>
      </c>
      <c r="F52" s="1">
        <v>-0.17609629668481508</v>
      </c>
      <c r="G52" s="1">
        <v>-5.0877286904984283E-2</v>
      </c>
      <c r="H52" s="2">
        <v>35.799999999999997</v>
      </c>
      <c r="I52" s="1">
        <v>1.3981159993760282</v>
      </c>
      <c r="J52" s="2">
        <v>2.1</v>
      </c>
      <c r="K52" s="2">
        <v>51.8</v>
      </c>
      <c r="L52" s="2">
        <v>25.6</v>
      </c>
      <c r="M52" s="2">
        <v>13666.666666666666</v>
      </c>
      <c r="N52" s="2">
        <v>13000</v>
      </c>
      <c r="O52" s="2">
        <v>10666.666666666666</v>
      </c>
      <c r="P52" s="2">
        <v>2733.3333333333335</v>
      </c>
      <c r="Q52" s="2">
        <v>10666.666666666666</v>
      </c>
    </row>
    <row r="53" spans="1:17" x14ac:dyDescent="0.25">
      <c r="A53" t="s">
        <v>96</v>
      </c>
      <c r="B53" t="s">
        <v>94</v>
      </c>
      <c r="C53" s="1">
        <v>-0.49220983569145837</v>
      </c>
      <c r="D53" s="1">
        <v>-0.73583208262465549</v>
      </c>
      <c r="E53" s="2">
        <f t="shared" si="1"/>
        <v>-0.61402095915805699</v>
      </c>
      <c r="F53" s="1">
        <v>4.1338985259893937</v>
      </c>
      <c r="G53" s="1">
        <v>4.9309447285938335</v>
      </c>
      <c r="H53" s="1">
        <v>10.532999999999999</v>
      </c>
      <c r="I53" s="1">
        <v>1.6590084585897358</v>
      </c>
      <c r="J53" s="2">
        <v>2.2999999999999998</v>
      </c>
      <c r="K53" s="2">
        <v>54.8</v>
      </c>
      <c r="L53" s="2">
        <v>22</v>
      </c>
      <c r="M53" s="2">
        <v>15833.333333333334</v>
      </c>
      <c r="N53" s="2">
        <v>16000</v>
      </c>
      <c r="O53" s="2">
        <v>9833.3333333333339</v>
      </c>
      <c r="P53" s="2">
        <v>2566.6666666666665</v>
      </c>
      <c r="Q53" s="2">
        <v>9833.3333333333339</v>
      </c>
    </row>
    <row r="54" spans="1:17" x14ac:dyDescent="0.25">
      <c r="A54" t="s">
        <v>96</v>
      </c>
      <c r="B54" t="s">
        <v>94</v>
      </c>
      <c r="C54" s="1">
        <v>-0.49965924455885585</v>
      </c>
      <c r="D54" s="1">
        <v>-0.55318259331040431</v>
      </c>
      <c r="E54" s="2">
        <f t="shared" si="1"/>
        <v>-0.52642091893463006</v>
      </c>
      <c r="F54" s="1">
        <v>3.9371173873796299</v>
      </c>
      <c r="G54" s="1">
        <v>4.7036129089157788</v>
      </c>
      <c r="H54" s="1">
        <v>10.532999999999999</v>
      </c>
      <c r="I54" s="1">
        <v>1.6590084585897358</v>
      </c>
      <c r="J54" s="2">
        <v>2.4</v>
      </c>
      <c r="K54" s="2">
        <v>54.8</v>
      </c>
      <c r="L54" s="2">
        <v>22</v>
      </c>
      <c r="M54" s="2">
        <v>15833.333333333334</v>
      </c>
      <c r="N54" s="2">
        <v>16000</v>
      </c>
      <c r="O54" s="2">
        <v>9833.3333333333339</v>
      </c>
      <c r="P54" s="2">
        <v>2566.6666666666665</v>
      </c>
      <c r="Q54" s="2">
        <v>9833.3333333333339</v>
      </c>
    </row>
    <row r="55" spans="1:17" x14ac:dyDescent="0.25">
      <c r="A55" t="s">
        <v>96</v>
      </c>
      <c r="B55" t="s">
        <v>94</v>
      </c>
      <c r="C55" s="1">
        <v>-0.37308652401560949</v>
      </c>
      <c r="D55" s="1">
        <v>-0.27859164386936852</v>
      </c>
      <c r="E55" s="2">
        <f t="shared" si="1"/>
        <v>-0.32583908394248901</v>
      </c>
      <c r="F55" s="1">
        <v>4.7860409770845251</v>
      </c>
      <c r="G55" s="1">
        <v>5.6843336516591174</v>
      </c>
      <c r="H55" s="1">
        <v>10.532999999999999</v>
      </c>
      <c r="I55" s="1">
        <v>1.6590084585897358</v>
      </c>
      <c r="J55" s="2">
        <v>2.2999999999999998</v>
      </c>
      <c r="K55" s="2">
        <v>54.8</v>
      </c>
      <c r="L55" s="2">
        <v>22</v>
      </c>
      <c r="M55" s="2">
        <v>15833.333333333334</v>
      </c>
      <c r="N55" s="2">
        <v>16000</v>
      </c>
      <c r="O55" s="2">
        <v>9833.3333333333339</v>
      </c>
      <c r="P55" s="2">
        <v>2566.6666666666665</v>
      </c>
      <c r="Q55" s="2">
        <v>9833.3333333333339</v>
      </c>
    </row>
    <row r="56" spans="1:17" x14ac:dyDescent="0.25">
      <c r="A56" t="s">
        <v>96</v>
      </c>
      <c r="B56" t="s">
        <v>92</v>
      </c>
      <c r="C56" s="1">
        <v>-0.28733513200677668</v>
      </c>
      <c r="D56" s="1">
        <v>-0.10719792178328039</v>
      </c>
      <c r="E56" s="2">
        <f t="shared" si="1"/>
        <v>-0.19726652689502855</v>
      </c>
      <c r="F56" s="1">
        <v>5.3861166120307308E-2</v>
      </c>
      <c r="G56" s="1">
        <v>-0.11464474377655816</v>
      </c>
      <c r="H56" s="2">
        <v>3.5</v>
      </c>
      <c r="I56" s="1">
        <v>-0.16723875590622275</v>
      </c>
      <c r="J56" s="2">
        <v>1.9</v>
      </c>
      <c r="K56" s="2">
        <v>51.2</v>
      </c>
      <c r="L56" s="2">
        <v>23.4</v>
      </c>
      <c r="M56" s="2">
        <v>12666.666666666666</v>
      </c>
      <c r="N56" s="2">
        <v>14000</v>
      </c>
      <c r="O56" s="2">
        <v>9000</v>
      </c>
      <c r="P56" s="2">
        <v>2666.6666666666665</v>
      </c>
      <c r="Q56" s="2">
        <v>9000</v>
      </c>
    </row>
    <row r="57" spans="1:17" x14ac:dyDescent="0.25">
      <c r="A57" t="s">
        <v>96</v>
      </c>
      <c r="B57" t="s">
        <v>92</v>
      </c>
      <c r="C57" s="1">
        <v>-0.30665203396043622</v>
      </c>
      <c r="D57" s="1">
        <v>-0.18897299906112439</v>
      </c>
      <c r="E57" s="2">
        <f t="shared" si="1"/>
        <v>-0.24781251651078029</v>
      </c>
      <c r="F57" s="1">
        <v>-0.1273075846328085</v>
      </c>
      <c r="G57" s="1">
        <v>-0.24464772278449776</v>
      </c>
      <c r="H57" s="2">
        <v>4.2</v>
      </c>
      <c r="I57" s="1">
        <v>-0.16723875590622275</v>
      </c>
      <c r="J57" s="2">
        <v>1.95</v>
      </c>
      <c r="K57" s="2">
        <v>51.2</v>
      </c>
      <c r="L57" s="2">
        <v>23.4</v>
      </c>
      <c r="M57" s="2">
        <v>12666.666666666666</v>
      </c>
      <c r="N57" s="2">
        <v>14000</v>
      </c>
      <c r="O57" s="2">
        <v>9000</v>
      </c>
      <c r="P57" s="2">
        <v>2666.6666666666665</v>
      </c>
      <c r="Q57" s="2">
        <v>9000</v>
      </c>
    </row>
    <row r="58" spans="1:17" x14ac:dyDescent="0.25">
      <c r="A58" t="s">
        <v>96</v>
      </c>
      <c r="B58" t="s">
        <v>92</v>
      </c>
      <c r="C58" s="1">
        <v>-0.45630997712111282</v>
      </c>
      <c r="D58" s="1">
        <v>-0.64193747505398546</v>
      </c>
      <c r="E58" s="2">
        <f t="shared" si="1"/>
        <v>-0.54912372608754911</v>
      </c>
      <c r="F58" s="1">
        <v>-0.46817805283615577</v>
      </c>
      <c r="G58" s="1">
        <v>-0.48924937808130203</v>
      </c>
      <c r="H58" s="2">
        <v>45.3</v>
      </c>
      <c r="I58" s="1">
        <v>-0.16723875590622275</v>
      </c>
      <c r="J58" s="2">
        <v>1.9</v>
      </c>
      <c r="K58" s="2">
        <v>51.2</v>
      </c>
      <c r="L58" s="2">
        <v>23.4</v>
      </c>
      <c r="M58" s="2">
        <v>12666.666666666666</v>
      </c>
      <c r="N58" s="2">
        <v>14000</v>
      </c>
      <c r="O58" s="2">
        <v>9000</v>
      </c>
      <c r="P58" s="2">
        <v>2666.6666666666665</v>
      </c>
      <c r="Q58" s="2">
        <v>9000</v>
      </c>
    </row>
    <row r="59" spans="1:17" x14ac:dyDescent="0.25">
      <c r="A59" t="s">
        <v>96</v>
      </c>
      <c r="B59" t="s">
        <v>92</v>
      </c>
      <c r="C59" s="1">
        <v>0.79144034711410982</v>
      </c>
      <c r="D59" s="1">
        <v>1.5010814053949879</v>
      </c>
      <c r="E59" s="2">
        <f t="shared" si="1"/>
        <v>1.1462608762545488</v>
      </c>
      <c r="F59" s="1">
        <v>-0.33059388484949953</v>
      </c>
      <c r="G59" s="1">
        <v>-0.25143779905288804</v>
      </c>
      <c r="H59" s="2">
        <v>6.4</v>
      </c>
      <c r="I59" s="1">
        <v>1.0502593870910832</v>
      </c>
      <c r="J59" s="2">
        <v>2.2999999999999998</v>
      </c>
      <c r="K59" s="2">
        <v>55.8</v>
      </c>
      <c r="L59" s="2">
        <v>23</v>
      </c>
      <c r="M59" s="2">
        <v>14666.666666666666</v>
      </c>
      <c r="N59" s="2">
        <v>15833.333333333334</v>
      </c>
      <c r="O59" s="2">
        <v>12166.666666666666</v>
      </c>
      <c r="P59" s="2">
        <v>3183.3333333333335</v>
      </c>
      <c r="Q59" s="2">
        <v>12166.666666666666</v>
      </c>
    </row>
    <row r="60" spans="1:17" x14ac:dyDescent="0.25">
      <c r="A60" t="s">
        <v>96</v>
      </c>
      <c r="B60" t="s">
        <v>92</v>
      </c>
      <c r="C60" s="1">
        <v>0.44606289037369584</v>
      </c>
      <c r="D60" s="1">
        <v>0.86954772669877312</v>
      </c>
      <c r="E60" s="2">
        <f t="shared" si="1"/>
        <v>0.65780530853623453</v>
      </c>
      <c r="F60" s="1">
        <v>-0.39109188779398635</v>
      </c>
      <c r="G60" s="1">
        <v>-0.31732570636322543</v>
      </c>
      <c r="H60" s="2">
        <v>2</v>
      </c>
      <c r="I60" s="1">
        <v>1.0502593870910832</v>
      </c>
      <c r="J60" s="2">
        <v>2.1</v>
      </c>
      <c r="K60" s="2">
        <v>55.8</v>
      </c>
      <c r="L60" s="2">
        <v>23</v>
      </c>
      <c r="M60" s="2">
        <v>14666.666666666666</v>
      </c>
      <c r="N60" s="2">
        <v>15833.333333333334</v>
      </c>
      <c r="O60" s="2">
        <v>12166.666666666666</v>
      </c>
      <c r="P60" s="2">
        <v>3183.3333333333335</v>
      </c>
      <c r="Q60" s="2">
        <v>12166.666666666666</v>
      </c>
    </row>
    <row r="61" spans="1:17" x14ac:dyDescent="0.25">
      <c r="A61" t="s">
        <v>96</v>
      </c>
      <c r="B61" t="s">
        <v>92</v>
      </c>
      <c r="C61" s="1">
        <v>-0.43374327056988843</v>
      </c>
      <c r="D61" s="1">
        <v>-0.47185566088619296</v>
      </c>
      <c r="E61" s="2">
        <f t="shared" si="1"/>
        <v>-0.4527994657280407</v>
      </c>
      <c r="F61" s="1">
        <v>-0.41808830846276329</v>
      </c>
      <c r="G61" s="1">
        <v>-0.34672729941031211</v>
      </c>
      <c r="H61" s="2">
        <v>43.2</v>
      </c>
      <c r="I61" s="1">
        <v>1.0502593870910832</v>
      </c>
      <c r="J61" s="2">
        <v>2.25</v>
      </c>
      <c r="K61" s="2">
        <v>55.8</v>
      </c>
      <c r="L61" s="2">
        <v>23</v>
      </c>
      <c r="M61" s="2">
        <v>14666.666666666666</v>
      </c>
      <c r="N61" s="2">
        <v>15833.333333333334</v>
      </c>
      <c r="O61" s="2">
        <v>12166.666666666666</v>
      </c>
      <c r="P61" s="2">
        <v>3183.3333333333335</v>
      </c>
      <c r="Q61" s="2">
        <v>12166.666666666666</v>
      </c>
    </row>
    <row r="62" spans="1:17" x14ac:dyDescent="0.25">
      <c r="A62" t="s">
        <v>96</v>
      </c>
      <c r="B62" t="s">
        <v>92</v>
      </c>
      <c r="C62" s="1">
        <v>-0.46570320941008647</v>
      </c>
      <c r="D62" s="1">
        <v>-0.60946452722670519</v>
      </c>
      <c r="E62" s="2">
        <f t="shared" si="1"/>
        <v>-0.53758386831839577</v>
      </c>
      <c r="F62" s="1">
        <v>-3.5259547894690393E-2</v>
      </c>
      <c r="G62" s="1">
        <v>1.2267773897132919E-2</v>
      </c>
      <c r="H62" s="2">
        <v>2.6</v>
      </c>
      <c r="I62" s="1">
        <v>0.61543862173490227</v>
      </c>
      <c r="J62" s="2">
        <v>2.1</v>
      </c>
      <c r="K62" s="2">
        <v>52.827999999999996</v>
      </c>
      <c r="L62" s="2">
        <v>21</v>
      </c>
      <c r="M62" s="2">
        <v>15500</v>
      </c>
      <c r="N62" s="2">
        <v>13166.666666666666</v>
      </c>
      <c r="O62" s="2">
        <v>4166.666666666667</v>
      </c>
      <c r="P62" s="2">
        <v>1116.6666666666667</v>
      </c>
      <c r="Q62" s="2">
        <v>4166.666666666667</v>
      </c>
    </row>
    <row r="63" spans="1:17" x14ac:dyDescent="0.25">
      <c r="A63" t="s">
        <v>96</v>
      </c>
      <c r="B63" t="s">
        <v>92</v>
      </c>
      <c r="C63" s="1">
        <v>6.2987699991121717</v>
      </c>
      <c r="D63" s="1">
        <v>-0.74812508834469393</v>
      </c>
      <c r="E63" s="2">
        <f t="shared" si="1"/>
        <v>2.7753224553837388</v>
      </c>
      <c r="F63" s="1">
        <v>-6.2906484724161105E-2</v>
      </c>
      <c r="G63" s="1">
        <v>-1.545037020676716E-2</v>
      </c>
      <c r="H63" s="2">
        <v>18</v>
      </c>
      <c r="I63" s="1">
        <v>0.61543862173490227</v>
      </c>
      <c r="J63" s="2">
        <v>2.0499999999999998</v>
      </c>
      <c r="K63" s="2">
        <v>52.827999999999996</v>
      </c>
      <c r="L63" s="2">
        <v>21</v>
      </c>
      <c r="M63" s="2">
        <v>15500</v>
      </c>
      <c r="N63" s="2">
        <v>13166.666666666666</v>
      </c>
      <c r="O63" s="2">
        <v>4166.666666666667</v>
      </c>
      <c r="P63" s="2">
        <v>1116.6666666666667</v>
      </c>
      <c r="Q63" s="2">
        <v>4166.666666666667</v>
      </c>
    </row>
    <row r="64" spans="1:17" x14ac:dyDescent="0.25">
      <c r="A64" t="s">
        <v>96</v>
      </c>
      <c r="B64" t="s">
        <v>92</v>
      </c>
      <c r="C64" s="1">
        <v>-0.3338125697712731</v>
      </c>
      <c r="D64" s="1">
        <v>-0.13279638951134559</v>
      </c>
      <c r="E64" s="2">
        <f t="shared" si="1"/>
        <v>-0.23330447964130935</v>
      </c>
      <c r="F64" s="1">
        <v>-8.3723001866349789E-2</v>
      </c>
      <c r="G64" s="1">
        <v>-3.6320502237937841E-2</v>
      </c>
      <c r="H64" s="2">
        <v>9</v>
      </c>
      <c r="I64" s="1">
        <v>0.61543862173490227</v>
      </c>
      <c r="J64" s="2">
        <v>2.0499999999999998</v>
      </c>
      <c r="K64" s="2">
        <v>52.827999999999996</v>
      </c>
      <c r="L64" s="2">
        <v>21</v>
      </c>
      <c r="M64" s="2">
        <v>15500</v>
      </c>
      <c r="N64" s="2">
        <v>13166.666666666666</v>
      </c>
      <c r="O64" s="2">
        <v>4166.666666666667</v>
      </c>
      <c r="P64" s="2">
        <v>1116.6666666666667</v>
      </c>
      <c r="Q64" s="2">
        <v>4166.666666666667</v>
      </c>
    </row>
    <row r="65" spans="1:17" x14ac:dyDescent="0.25">
      <c r="A65" t="s">
        <v>96</v>
      </c>
      <c r="B65" t="s">
        <v>95</v>
      </c>
      <c r="C65" s="1">
        <v>-0.1566338711497399</v>
      </c>
      <c r="D65" s="1">
        <v>0.17760329565941363</v>
      </c>
      <c r="E65" s="2">
        <f t="shared" si="1"/>
        <v>1.0484712254836867E-2</v>
      </c>
      <c r="F65" s="1">
        <v>-0.38458672618705209</v>
      </c>
      <c r="G65" s="1">
        <v>-0.29556667356264327</v>
      </c>
      <c r="H65" s="2">
        <v>14.7</v>
      </c>
      <c r="I65" s="1">
        <v>0.8763310809486109</v>
      </c>
      <c r="J65" s="2">
        <v>2.4</v>
      </c>
      <c r="K65" s="2">
        <v>56.2</v>
      </c>
      <c r="L65" s="2">
        <v>21.2</v>
      </c>
      <c r="M65" s="2">
        <v>14500</v>
      </c>
      <c r="N65" s="2">
        <v>14333.333333333334</v>
      </c>
      <c r="O65" s="2">
        <v>11166.666666666666</v>
      </c>
      <c r="P65" s="2">
        <v>3000</v>
      </c>
      <c r="Q65" s="2">
        <v>11166.666666666666</v>
      </c>
    </row>
    <row r="66" spans="1:17" x14ac:dyDescent="0.25">
      <c r="A66" t="s">
        <v>96</v>
      </c>
      <c r="B66" t="s">
        <v>95</v>
      </c>
      <c r="C66" s="1">
        <v>0.21084428909790823</v>
      </c>
      <c r="D66" s="1">
        <v>0.84601908929123015</v>
      </c>
      <c r="E66" s="2">
        <f t="shared" si="1"/>
        <v>0.52843168919456918</v>
      </c>
      <c r="F66" s="1">
        <v>-0.38328569386566008</v>
      </c>
      <c r="G66" s="1">
        <v>-0.29409013820637725</v>
      </c>
      <c r="H66" s="2">
        <v>4.0999999999999996</v>
      </c>
      <c r="I66" s="1">
        <v>0.8763310809486109</v>
      </c>
      <c r="J66" s="2">
        <v>2.2999999999999998</v>
      </c>
      <c r="K66" s="2">
        <v>56.2</v>
      </c>
      <c r="L66" s="2">
        <v>21.2</v>
      </c>
      <c r="M66" s="2">
        <v>14500</v>
      </c>
      <c r="N66" s="2">
        <v>14333.333333333334</v>
      </c>
      <c r="O66" s="2">
        <v>11166.666666666666</v>
      </c>
      <c r="P66" s="2">
        <v>3000</v>
      </c>
      <c r="Q66" s="2">
        <v>11166.666666666666</v>
      </c>
    </row>
    <row r="67" spans="1:17" x14ac:dyDescent="0.25">
      <c r="A67" t="s">
        <v>96</v>
      </c>
      <c r="B67" t="s">
        <v>95</v>
      </c>
      <c r="C67" s="1">
        <v>-0.43556890376130397</v>
      </c>
      <c r="D67" s="1">
        <v>-0.5923183399120272</v>
      </c>
      <c r="E67" s="2">
        <f t="shared" ref="E67:E73" si="2">(C67+D67)/2</f>
        <v>-0.51394362183666553</v>
      </c>
      <c r="F67" s="1">
        <v>-0.35271143431307489</v>
      </c>
      <c r="G67" s="1">
        <v>-0.25939155733411973</v>
      </c>
      <c r="H67" s="2">
        <v>2.8</v>
      </c>
      <c r="I67" s="1">
        <v>0.8763310809486109</v>
      </c>
      <c r="J67" s="2">
        <v>2.36</v>
      </c>
      <c r="K67" s="2">
        <v>56.2</v>
      </c>
      <c r="L67" s="2">
        <v>21.2</v>
      </c>
      <c r="M67" s="2">
        <v>14500</v>
      </c>
      <c r="N67" s="2">
        <v>14333.333333333334</v>
      </c>
      <c r="O67" s="2">
        <v>11166.666666666666</v>
      </c>
      <c r="P67" s="2">
        <v>3000</v>
      </c>
      <c r="Q67" s="2">
        <v>11166.666666666666</v>
      </c>
    </row>
    <row r="68" spans="1:17" x14ac:dyDescent="0.25">
      <c r="A68" t="s">
        <v>96</v>
      </c>
      <c r="B68" t="s">
        <v>95</v>
      </c>
      <c r="C68" s="1">
        <v>-0.52814795220258071</v>
      </c>
      <c r="D68" s="1">
        <v>-0.7952499979245562</v>
      </c>
      <c r="E68" s="2">
        <f t="shared" si="2"/>
        <v>-0.66169897506356845</v>
      </c>
      <c r="F68" s="1">
        <v>-0.25513401020906507</v>
      </c>
      <c r="G68" s="1">
        <v>-0.12804777828293543</v>
      </c>
      <c r="H68" s="1">
        <v>10.532999999999999</v>
      </c>
      <c r="I68" s="1">
        <v>0.96329523401984707</v>
      </c>
      <c r="J68" s="2">
        <v>2.2999999999999998</v>
      </c>
      <c r="K68" s="2">
        <v>57.6</v>
      </c>
      <c r="L68" s="2">
        <v>21.4</v>
      </c>
      <c r="M68" s="2">
        <v>15500</v>
      </c>
      <c r="N68" s="2">
        <v>16166.666666666666</v>
      </c>
      <c r="O68" s="2">
        <v>13833.333333333334</v>
      </c>
      <c r="P68" s="2">
        <v>3500</v>
      </c>
      <c r="Q68" s="2">
        <v>13833.333333333334</v>
      </c>
    </row>
    <row r="69" spans="1:17" x14ac:dyDescent="0.25">
      <c r="A69" t="s">
        <v>96</v>
      </c>
      <c r="B69" t="s">
        <v>95</v>
      </c>
      <c r="C69" s="1">
        <v>-0.44701613933772338</v>
      </c>
      <c r="D69" s="1">
        <v>-0.58124792291710636</v>
      </c>
      <c r="E69" s="2">
        <f t="shared" si="2"/>
        <v>-0.5141320311274149</v>
      </c>
      <c r="F69" s="1">
        <v>-0.32604027172464445</v>
      </c>
      <c r="G69" s="1">
        <v>-0.21176667085975223</v>
      </c>
      <c r="H69" s="1">
        <v>10.532999999999999</v>
      </c>
      <c r="I69" s="1">
        <v>0.96329523401984707</v>
      </c>
      <c r="J69" s="2">
        <v>2.2999999999999998</v>
      </c>
      <c r="K69" s="2">
        <v>57.6</v>
      </c>
      <c r="L69" s="2">
        <v>21.4</v>
      </c>
      <c r="M69" s="2">
        <v>15500</v>
      </c>
      <c r="N69" s="2">
        <v>16166.666666666666</v>
      </c>
      <c r="O69" s="2">
        <v>13833.333333333334</v>
      </c>
      <c r="P69" s="2">
        <v>3500</v>
      </c>
      <c r="Q69" s="2">
        <v>13833.333333333334</v>
      </c>
    </row>
    <row r="70" spans="1:17" x14ac:dyDescent="0.25">
      <c r="A70" t="s">
        <v>96</v>
      </c>
      <c r="B70" t="s">
        <v>95</v>
      </c>
      <c r="C70" s="1">
        <v>-0.43285280081658878</v>
      </c>
      <c r="D70" s="1">
        <v>-0.39399410663891982</v>
      </c>
      <c r="E70" s="2">
        <f t="shared" si="2"/>
        <v>-0.4134234537277543</v>
      </c>
      <c r="F70" s="1">
        <v>-0.23464275114722266</v>
      </c>
      <c r="G70" s="1">
        <v>-0.10385378639146985</v>
      </c>
      <c r="H70" s="1">
        <v>10.532999999999999</v>
      </c>
      <c r="I70" s="1">
        <v>0.96329523401984707</v>
      </c>
      <c r="J70" s="2">
        <v>2.1</v>
      </c>
      <c r="K70" s="2">
        <v>57.6</v>
      </c>
      <c r="L70" s="2">
        <v>21.4</v>
      </c>
      <c r="M70" s="2">
        <v>15500</v>
      </c>
      <c r="N70" s="2">
        <v>16166.666666666666</v>
      </c>
      <c r="O70" s="2">
        <v>13833.333333333334</v>
      </c>
      <c r="P70" s="2">
        <v>3500</v>
      </c>
      <c r="Q70" s="2">
        <v>13833.333333333334</v>
      </c>
    </row>
    <row r="71" spans="1:17" x14ac:dyDescent="0.25">
      <c r="A71" t="s">
        <v>96</v>
      </c>
      <c r="B71" t="s">
        <v>95</v>
      </c>
      <c r="C71" s="1">
        <v>0.78709158237929522</v>
      </c>
      <c r="D71" s="1">
        <v>1.4440281253826881</v>
      </c>
      <c r="E71" s="2">
        <f t="shared" si="2"/>
        <v>1.1155598538809917</v>
      </c>
      <c r="F71" s="1">
        <v>-0.36214391864312911</v>
      </c>
      <c r="G71" s="1">
        <v>-0.30847973669519141</v>
      </c>
      <c r="H71" s="1">
        <v>10.532999999999999</v>
      </c>
      <c r="I71" s="1">
        <v>0.2675820094499583</v>
      </c>
      <c r="J71" s="2">
        <v>2.25</v>
      </c>
      <c r="K71" s="2">
        <v>53.6</v>
      </c>
      <c r="L71" s="2">
        <v>19.399999999999999</v>
      </c>
      <c r="M71" s="2">
        <v>14833.333333333334</v>
      </c>
      <c r="N71" s="2">
        <v>15666.666666666666</v>
      </c>
      <c r="O71" s="2">
        <v>13166.666666666666</v>
      </c>
      <c r="P71" s="2">
        <v>3016.6666666666665</v>
      </c>
      <c r="Q71" s="2">
        <v>13166.666666666666</v>
      </c>
    </row>
    <row r="72" spans="1:17" x14ac:dyDescent="0.25">
      <c r="A72" t="s">
        <v>96</v>
      </c>
      <c r="B72" t="s">
        <v>95</v>
      </c>
      <c r="C72" s="1">
        <v>1.6096216469777247</v>
      </c>
      <c r="D72" s="1">
        <v>2.1638778342953091</v>
      </c>
      <c r="E72" s="2">
        <f t="shared" si="2"/>
        <v>1.886749740636517</v>
      </c>
      <c r="F72" s="1">
        <v>-0.35368720855411417</v>
      </c>
      <c r="G72" s="1">
        <v>-0.29982909345320946</v>
      </c>
      <c r="H72" s="1">
        <v>10.532999999999999</v>
      </c>
      <c r="I72" s="1">
        <v>0.2675820094499583</v>
      </c>
      <c r="J72" s="2">
        <v>2.35</v>
      </c>
      <c r="K72" s="2">
        <v>53.6</v>
      </c>
      <c r="L72" s="2">
        <v>19.399999999999999</v>
      </c>
      <c r="M72" s="2">
        <v>14833.333333333334</v>
      </c>
      <c r="N72" s="2">
        <v>15666.666666666666</v>
      </c>
      <c r="O72" s="2">
        <v>13166.666666666666</v>
      </c>
      <c r="P72" s="2">
        <v>3016.6666666666665</v>
      </c>
      <c r="Q72" s="2">
        <v>13166.666666666666</v>
      </c>
    </row>
    <row r="73" spans="1:17" x14ac:dyDescent="0.25">
      <c r="A73" t="s">
        <v>96</v>
      </c>
      <c r="B73" t="s">
        <v>95</v>
      </c>
      <c r="C73" s="1">
        <v>0.53065382945736828</v>
      </c>
      <c r="D73" s="1">
        <v>1.1472483264317781</v>
      </c>
      <c r="E73" s="2">
        <f t="shared" si="2"/>
        <v>0.83895107794457324</v>
      </c>
      <c r="F73" s="1">
        <v>-0.34100214342059382</v>
      </c>
      <c r="G73" s="1">
        <v>-0.28685312859023787</v>
      </c>
      <c r="H73" s="1">
        <v>10.532999999999999</v>
      </c>
      <c r="I73" s="1">
        <v>0.2675820094499583</v>
      </c>
      <c r="J73" s="2">
        <v>2.2999999999999998</v>
      </c>
      <c r="K73" s="2">
        <v>53.6</v>
      </c>
      <c r="L73" s="2">
        <v>19.399999999999999</v>
      </c>
      <c r="M73" s="2">
        <v>14833.333333333334</v>
      </c>
      <c r="N73" s="2">
        <v>15666.666666666666</v>
      </c>
      <c r="O73" s="2">
        <v>13166.666666666666</v>
      </c>
      <c r="P73" s="2">
        <v>3016.6666666666665</v>
      </c>
      <c r="Q73" s="2">
        <v>13166.666666666666</v>
      </c>
    </row>
    <row r="74" spans="1:17" x14ac:dyDescent="0.25">
      <c r="A74" t="s">
        <v>97</v>
      </c>
      <c r="B74" t="s">
        <v>93</v>
      </c>
      <c r="C74" s="1">
        <v>-0.50875179241061508</v>
      </c>
      <c r="D74" s="1">
        <v>-0.75061518353947543</v>
      </c>
      <c r="E74" s="2">
        <f t="shared" ref="E74:E109" si="3">(C74+D74)/2</f>
        <v>-0.62968348797504525</v>
      </c>
      <c r="F74" s="1">
        <v>-0.12114797485635911</v>
      </c>
      <c r="G74" s="1">
        <v>4.4566796201667161E-2</v>
      </c>
      <c r="H74" s="2">
        <v>5</v>
      </c>
      <c r="I74" s="1">
        <v>0.35454616252119497</v>
      </c>
      <c r="J74" s="2">
        <v>1.88</v>
      </c>
      <c r="K74" s="2">
        <v>50.2</v>
      </c>
      <c r="L74" s="2">
        <v>18.8</v>
      </c>
      <c r="M74" s="2">
        <v>14500</v>
      </c>
      <c r="N74" s="2">
        <v>14833.333333333334</v>
      </c>
      <c r="O74" s="2">
        <v>6333.333333333333</v>
      </c>
      <c r="P74" s="2">
        <v>1466.6666666666667</v>
      </c>
      <c r="Q74" s="2">
        <v>6333.333333333333</v>
      </c>
    </row>
    <row r="75" spans="1:17" x14ac:dyDescent="0.25">
      <c r="A75" t="s">
        <v>97</v>
      </c>
      <c r="B75" t="s">
        <v>93</v>
      </c>
      <c r="C75" s="1">
        <v>-0.64695186165921492</v>
      </c>
      <c r="D75" s="1">
        <v>-0.94659285188198328</v>
      </c>
      <c r="E75" s="2">
        <f t="shared" si="3"/>
        <v>-0.7967723567705991</v>
      </c>
      <c r="F75" s="1">
        <v>-2.378997692572183E-2</v>
      </c>
      <c r="G75" s="1">
        <v>4.4566796201667161E-2</v>
      </c>
      <c r="H75" s="2">
        <v>5.3</v>
      </c>
      <c r="I75" s="1">
        <v>0.35454616252119453</v>
      </c>
      <c r="J75" s="2">
        <v>1.7</v>
      </c>
      <c r="K75" s="2">
        <v>50.2</v>
      </c>
      <c r="L75" s="2">
        <v>18.8</v>
      </c>
      <c r="M75" s="2">
        <v>14500</v>
      </c>
      <c r="N75" s="2">
        <v>14833.333333333334</v>
      </c>
      <c r="O75" s="2">
        <v>6333.333333333333</v>
      </c>
      <c r="P75" s="2">
        <v>1466.6666666666667</v>
      </c>
      <c r="Q75" s="2">
        <v>6333.333333333333</v>
      </c>
    </row>
    <row r="76" spans="1:17" x14ac:dyDescent="0.25">
      <c r="A76" t="s">
        <v>97</v>
      </c>
      <c r="B76" t="s">
        <v>93</v>
      </c>
      <c r="C76" s="1">
        <v>-0.62966421810231699</v>
      </c>
      <c r="D76" s="1">
        <v>-1.0085651234574193</v>
      </c>
      <c r="E76" s="2">
        <f t="shared" si="3"/>
        <v>-0.81911467077986821</v>
      </c>
      <c r="F76" s="1">
        <v>-0.26569984974998445</v>
      </c>
      <c r="G76" s="1">
        <v>-0.20535292802919047</v>
      </c>
      <c r="H76" s="2">
        <v>10.8</v>
      </c>
      <c r="I76" s="1">
        <v>0.35454616252119453</v>
      </c>
      <c r="J76" s="2">
        <v>1.88</v>
      </c>
      <c r="K76" s="2">
        <v>50.2</v>
      </c>
      <c r="L76" s="2">
        <v>18.8</v>
      </c>
      <c r="M76" s="2">
        <v>14500</v>
      </c>
      <c r="N76" s="2">
        <v>14833.333333333334</v>
      </c>
      <c r="O76" s="2">
        <v>6333.333333333333</v>
      </c>
      <c r="P76" s="2">
        <v>1466.6666666666667</v>
      </c>
      <c r="Q76" s="2">
        <v>6333.333333333333</v>
      </c>
    </row>
    <row r="77" spans="1:17" x14ac:dyDescent="0.25">
      <c r="A77" t="s">
        <v>97</v>
      </c>
      <c r="B77" t="s">
        <v>93</v>
      </c>
      <c r="C77" s="1">
        <v>-0.40974029634520237</v>
      </c>
      <c r="D77" s="1">
        <v>-0.54601124306045323</v>
      </c>
      <c r="E77" s="2">
        <f t="shared" si="3"/>
        <v>-0.4778757697028278</v>
      </c>
      <c r="F77" s="1">
        <v>-5.7452742311908507E-2</v>
      </c>
      <c r="G77" s="1">
        <v>-2.9754589003982861E-2</v>
      </c>
      <c r="H77" s="2">
        <v>3.9</v>
      </c>
      <c r="I77" s="1">
        <v>-1.8195576642597089</v>
      </c>
      <c r="J77" s="2">
        <v>2</v>
      </c>
      <c r="K77" s="2">
        <v>54.8</v>
      </c>
      <c r="L77" s="2">
        <v>17.399999999999999</v>
      </c>
      <c r="M77" s="2">
        <v>14500</v>
      </c>
      <c r="N77" s="2">
        <v>14166.666666666666</v>
      </c>
      <c r="O77" s="2">
        <v>6666.666666666667</v>
      </c>
      <c r="P77" s="2">
        <v>1816.6666666666667</v>
      </c>
      <c r="Q77" s="2">
        <v>6666.666666666667</v>
      </c>
    </row>
    <row r="78" spans="1:17" x14ac:dyDescent="0.25">
      <c r="A78" t="s">
        <v>97</v>
      </c>
      <c r="B78" t="s">
        <v>93</v>
      </c>
      <c r="C78" s="1">
        <v>-0.52636981757747259</v>
      </c>
      <c r="D78" s="1">
        <v>-0.79168962129938247</v>
      </c>
      <c r="E78" s="2">
        <f t="shared" si="3"/>
        <v>-0.65902971943842759</v>
      </c>
      <c r="F78" s="1">
        <v>-9.4085751702758541E-2</v>
      </c>
      <c r="G78" s="1">
        <v>-6.5363350308953586E-2</v>
      </c>
      <c r="H78" s="2">
        <v>17.600000000000001</v>
      </c>
      <c r="I78" s="1">
        <v>-1.8195576642597089</v>
      </c>
      <c r="J78" s="2">
        <v>1.85</v>
      </c>
      <c r="K78" s="2">
        <v>54.8</v>
      </c>
      <c r="L78" s="2">
        <v>17.399999999999999</v>
      </c>
      <c r="M78" s="2">
        <v>14500</v>
      </c>
      <c r="N78" s="2">
        <v>14166.666666666666</v>
      </c>
      <c r="O78" s="2">
        <v>6666.666666666667</v>
      </c>
      <c r="P78" s="2">
        <v>1816.6666666666667</v>
      </c>
      <c r="Q78" s="2">
        <v>6666.666666666667</v>
      </c>
    </row>
    <row r="79" spans="1:17" x14ac:dyDescent="0.25">
      <c r="A79" t="s">
        <v>97</v>
      </c>
      <c r="B79" t="s">
        <v>93</v>
      </c>
      <c r="C79" s="1">
        <v>-0.5800049227441455</v>
      </c>
      <c r="D79" s="1">
        <v>-0.97442053843027943</v>
      </c>
      <c r="E79" s="2">
        <f t="shared" si="3"/>
        <v>-0.77721273058721252</v>
      </c>
      <c r="F79" s="1">
        <v>-0.13071876109361491</v>
      </c>
      <c r="G79" s="1">
        <v>-0.1009721116139244</v>
      </c>
      <c r="H79" s="2">
        <v>8.8000000000000007</v>
      </c>
      <c r="I79" s="1">
        <v>-1.8195576642597089</v>
      </c>
      <c r="J79" s="2">
        <v>1.8</v>
      </c>
      <c r="K79" s="2">
        <v>54.8</v>
      </c>
      <c r="L79" s="2">
        <v>17.399999999999999</v>
      </c>
      <c r="M79" s="2">
        <v>14500</v>
      </c>
      <c r="N79" s="2">
        <v>14166.666666666666</v>
      </c>
      <c r="O79" s="2">
        <v>6666.666666666667</v>
      </c>
      <c r="P79" s="2">
        <v>1816.6666666666667</v>
      </c>
      <c r="Q79" s="2">
        <v>6666.666666666667</v>
      </c>
    </row>
    <row r="80" spans="1:17" x14ac:dyDescent="0.25">
      <c r="A80" t="s">
        <v>97</v>
      </c>
      <c r="B80" t="s">
        <v>93</v>
      </c>
      <c r="C80" s="1">
        <v>-0.27128655945347185</v>
      </c>
      <c r="D80" s="1">
        <v>-0.17277524734105854</v>
      </c>
      <c r="E80" s="2">
        <f t="shared" si="3"/>
        <v>-0.22203090339726519</v>
      </c>
      <c r="F80" s="1">
        <v>-0.13335897798664254</v>
      </c>
      <c r="G80" s="1">
        <v>-0.13262882276321483</v>
      </c>
      <c r="H80" s="1">
        <v>10.532999999999999</v>
      </c>
      <c r="I80" s="1">
        <v>-1.036880286618584</v>
      </c>
      <c r="J80" s="2">
        <v>2</v>
      </c>
      <c r="K80" s="2">
        <v>54.2</v>
      </c>
      <c r="L80" s="2">
        <v>18.2</v>
      </c>
      <c r="M80" s="2">
        <v>20166.666666666668</v>
      </c>
      <c r="N80" s="2">
        <v>20666.666666666668</v>
      </c>
      <c r="O80" s="2">
        <v>12000</v>
      </c>
      <c r="P80" s="2">
        <v>2900</v>
      </c>
      <c r="Q80" s="2">
        <v>12000</v>
      </c>
    </row>
    <row r="81" spans="1:17" x14ac:dyDescent="0.25">
      <c r="A81" t="s">
        <v>97</v>
      </c>
      <c r="B81" t="s">
        <v>93</v>
      </c>
      <c r="C81" s="1">
        <v>-0.48064338161355175</v>
      </c>
      <c r="D81" s="1">
        <v>-0.67780197074245585</v>
      </c>
      <c r="E81" s="2">
        <f t="shared" si="3"/>
        <v>-0.57922267617800383</v>
      </c>
      <c r="F81" s="1">
        <v>-0.14292976422389189</v>
      </c>
      <c r="G81" s="1">
        <v>-0.14144493464896499</v>
      </c>
      <c r="H81" s="1">
        <v>10.532999999999999</v>
      </c>
      <c r="I81" s="1">
        <v>-1.036880286618584</v>
      </c>
      <c r="J81" s="2">
        <v>2.15</v>
      </c>
      <c r="K81" s="2">
        <v>54.2</v>
      </c>
      <c r="L81" s="2">
        <v>18.2</v>
      </c>
      <c r="M81" s="2">
        <v>20166.666666666668</v>
      </c>
      <c r="N81" s="2">
        <v>20666.666666666668</v>
      </c>
      <c r="O81" s="2">
        <v>12000</v>
      </c>
      <c r="P81" s="2">
        <v>2900</v>
      </c>
      <c r="Q81" s="2">
        <v>12000</v>
      </c>
    </row>
    <row r="82" spans="1:17" x14ac:dyDescent="0.25">
      <c r="A82" t="s">
        <v>97</v>
      </c>
      <c r="B82" t="s">
        <v>93</v>
      </c>
      <c r="C82" s="1">
        <v>-0.60655279086040725</v>
      </c>
      <c r="D82" s="1">
        <v>-0.89429723872017297</v>
      </c>
      <c r="E82" s="2">
        <f t="shared" si="3"/>
        <v>-0.75042501479029011</v>
      </c>
      <c r="F82" s="1">
        <v>-0.15580082157743433</v>
      </c>
      <c r="G82" s="1">
        <v>-0.15330108511600904</v>
      </c>
      <c r="H82" s="1">
        <v>10.532999999999999</v>
      </c>
      <c r="I82" s="1">
        <v>-1.036880286618584</v>
      </c>
      <c r="J82" s="2">
        <v>2</v>
      </c>
      <c r="K82" s="2">
        <v>54.2</v>
      </c>
      <c r="L82" s="2">
        <v>18.2</v>
      </c>
      <c r="M82" s="2">
        <v>20166.666666666668</v>
      </c>
      <c r="N82" s="2">
        <v>20666.666666666668</v>
      </c>
      <c r="O82" s="2">
        <v>12000</v>
      </c>
      <c r="P82" s="2">
        <v>2900</v>
      </c>
      <c r="Q82" s="2">
        <v>12000</v>
      </c>
    </row>
    <row r="83" spans="1:17" x14ac:dyDescent="0.25">
      <c r="A83" t="s">
        <v>97</v>
      </c>
      <c r="B83" t="s">
        <v>94</v>
      </c>
      <c r="C83" s="1">
        <v>4.6953626809448937E-2</v>
      </c>
      <c r="D83" s="1">
        <v>0.24122902266104962</v>
      </c>
      <c r="E83" s="2">
        <f t="shared" si="3"/>
        <v>0.14409132473524927</v>
      </c>
      <c r="F83" s="1">
        <v>-8.2787026791455408E-3</v>
      </c>
      <c r="G83" s="1">
        <v>-6.7049647952941036E-2</v>
      </c>
      <c r="H83" s="2">
        <v>5.4</v>
      </c>
      <c r="I83" s="1">
        <v>-0.34116706204869518</v>
      </c>
      <c r="J83" s="2">
        <v>1.8</v>
      </c>
      <c r="K83" s="2">
        <v>50.8</v>
      </c>
      <c r="L83" s="2">
        <v>18</v>
      </c>
      <c r="M83" s="2">
        <v>14500</v>
      </c>
      <c r="N83" s="2">
        <v>13500</v>
      </c>
      <c r="O83" s="2">
        <v>3333.3333333333335</v>
      </c>
      <c r="P83" s="2">
        <v>733.33333333333337</v>
      </c>
      <c r="Q83" s="2">
        <v>3333.3333333333335</v>
      </c>
    </row>
    <row r="84" spans="1:17" x14ac:dyDescent="0.25">
      <c r="A84" t="s">
        <v>97</v>
      </c>
      <c r="B84" t="s">
        <v>94</v>
      </c>
      <c r="C84" s="1">
        <v>-0.49129023959341311</v>
      </c>
      <c r="D84" s="1">
        <v>-0.59390440096082864</v>
      </c>
      <c r="E84" s="2">
        <f t="shared" si="3"/>
        <v>-0.54259732027712082</v>
      </c>
      <c r="F84" s="1">
        <v>-9.5405860149276586E-2</v>
      </c>
      <c r="G84" s="1">
        <v>-0.14109894130766876</v>
      </c>
      <c r="H84" s="2">
        <v>13.5</v>
      </c>
      <c r="I84" s="1">
        <v>-0.34116706204869518</v>
      </c>
      <c r="J84" s="2">
        <v>1.7</v>
      </c>
      <c r="K84" s="2">
        <v>50.8</v>
      </c>
      <c r="L84" s="2">
        <v>18</v>
      </c>
      <c r="M84" s="2">
        <v>14500</v>
      </c>
      <c r="N84" s="2">
        <v>13500</v>
      </c>
      <c r="O84" s="2">
        <v>3333.3333333333335</v>
      </c>
      <c r="P84" s="2">
        <v>733.33333333333337</v>
      </c>
      <c r="Q84" s="2">
        <v>3333.3333333333335</v>
      </c>
    </row>
    <row r="85" spans="1:17" x14ac:dyDescent="0.25">
      <c r="A85" t="s">
        <v>97</v>
      </c>
      <c r="B85" t="s">
        <v>94</v>
      </c>
      <c r="C85" s="1">
        <v>-0.42062559222910861</v>
      </c>
      <c r="D85" s="1">
        <v>-0.54066293368397778</v>
      </c>
      <c r="E85" s="2">
        <f t="shared" si="3"/>
        <v>-0.48064426295654317</v>
      </c>
      <c r="F85" s="1">
        <v>-6.966374544219181E-2</v>
      </c>
      <c r="G85" s="1">
        <v>-0.11922074099831752</v>
      </c>
      <c r="H85" s="2">
        <v>0.7</v>
      </c>
      <c r="I85" s="1">
        <v>-0.34116706204869518</v>
      </c>
      <c r="J85" s="2">
        <v>1.85</v>
      </c>
      <c r="K85" s="2">
        <v>50.8</v>
      </c>
      <c r="L85" s="2">
        <v>18</v>
      </c>
      <c r="M85" s="2">
        <v>14500</v>
      </c>
      <c r="N85" s="2">
        <v>13500</v>
      </c>
      <c r="O85" s="2">
        <v>3333.3333333333335</v>
      </c>
      <c r="P85" s="2">
        <v>733.33333333333337</v>
      </c>
      <c r="Q85" s="2">
        <v>3333.3333333333335</v>
      </c>
    </row>
    <row r="86" spans="1:17" x14ac:dyDescent="0.25">
      <c r="A86" t="s">
        <v>97</v>
      </c>
      <c r="B86" t="s">
        <v>94</v>
      </c>
      <c r="C86" s="1">
        <v>-0.43829348457558831</v>
      </c>
      <c r="D86" s="1">
        <v>-0.66255626868840201</v>
      </c>
      <c r="E86" s="2">
        <f t="shared" si="3"/>
        <v>-0.55042487663199513</v>
      </c>
      <c r="F86" s="1">
        <v>1.5483249358164289E-2</v>
      </c>
      <c r="G86" s="1">
        <v>-8.351960283037832E-2</v>
      </c>
      <c r="H86" s="2">
        <v>5.6</v>
      </c>
      <c r="I86" s="1">
        <v>0.35454616252119453</v>
      </c>
      <c r="J86" s="2">
        <v>1.8</v>
      </c>
      <c r="K86" s="2">
        <v>51.2</v>
      </c>
      <c r="L86" s="2">
        <v>20</v>
      </c>
      <c r="M86" s="2">
        <v>14500</v>
      </c>
      <c r="N86" s="2">
        <v>13166.666666666666</v>
      </c>
      <c r="O86" s="2">
        <v>1833.3333333333333</v>
      </c>
      <c r="P86" s="2">
        <v>366.66666666666669</v>
      </c>
      <c r="Q86" s="2">
        <v>1833.3333333333333</v>
      </c>
    </row>
    <row r="87" spans="1:17" x14ac:dyDescent="0.25">
      <c r="A87" t="s">
        <v>97</v>
      </c>
      <c r="B87" t="s">
        <v>94</v>
      </c>
      <c r="C87" s="1">
        <v>-0.53248712699696688</v>
      </c>
      <c r="D87" s="1">
        <v>-0.83538684230405214</v>
      </c>
      <c r="E87" s="2">
        <f t="shared" si="3"/>
        <v>-0.68393698465050945</v>
      </c>
      <c r="F87" s="1">
        <v>-7.4284125005000728E-2</v>
      </c>
      <c r="G87" s="1">
        <v>-0.15524435839697867</v>
      </c>
      <c r="H87" s="2">
        <v>12.4</v>
      </c>
      <c r="I87" s="1">
        <v>0.35454616252119453</v>
      </c>
      <c r="J87" s="2">
        <v>1.7</v>
      </c>
      <c r="K87" s="2">
        <v>51.2</v>
      </c>
      <c r="L87" s="2">
        <v>20</v>
      </c>
      <c r="M87" s="2">
        <v>14500</v>
      </c>
      <c r="N87" s="2">
        <v>13166.666666666666</v>
      </c>
      <c r="O87" s="2">
        <v>1833.3333333333333</v>
      </c>
      <c r="P87" s="2">
        <v>366.66666666666669</v>
      </c>
      <c r="Q87" s="2">
        <v>1833.3333333333333</v>
      </c>
    </row>
    <row r="88" spans="1:17" x14ac:dyDescent="0.25">
      <c r="A88" t="s">
        <v>97</v>
      </c>
      <c r="B88" t="s">
        <v>94</v>
      </c>
      <c r="C88" s="1">
        <v>-0.43667990655218664</v>
      </c>
      <c r="D88" s="1">
        <v>-0.64464441453278276</v>
      </c>
      <c r="E88" s="2">
        <f t="shared" si="3"/>
        <v>-0.54066216054248473</v>
      </c>
      <c r="F88" s="1">
        <v>-7.6594314786409406E-2</v>
      </c>
      <c r="G88" s="1">
        <v>-0.15709021607700135</v>
      </c>
      <c r="H88" s="2">
        <v>3.4</v>
      </c>
      <c r="I88" s="1">
        <v>0.35454616252119453</v>
      </c>
      <c r="J88" s="2">
        <v>1.8</v>
      </c>
      <c r="K88" s="2">
        <v>51.2</v>
      </c>
      <c r="L88" s="2">
        <v>20</v>
      </c>
      <c r="M88" s="2">
        <v>14500</v>
      </c>
      <c r="N88" s="2">
        <v>13166.666666666666</v>
      </c>
      <c r="O88" s="2">
        <v>1833.3333333333333</v>
      </c>
      <c r="P88" s="2">
        <v>366.66666666666669</v>
      </c>
      <c r="Q88" s="2">
        <v>1833.3333333333333</v>
      </c>
    </row>
    <row r="89" spans="1:17" x14ac:dyDescent="0.25">
      <c r="A89" t="s">
        <v>97</v>
      </c>
      <c r="B89" t="s">
        <v>94</v>
      </c>
      <c r="C89" s="1">
        <v>-0.35898458412054479</v>
      </c>
      <c r="D89" s="1">
        <v>-0.3516377061237479</v>
      </c>
      <c r="E89" s="2">
        <f t="shared" si="3"/>
        <v>-0.35531114512214634</v>
      </c>
      <c r="F89" s="1">
        <v>-0.16306141803327709</v>
      </c>
      <c r="G89" s="1">
        <v>-0.26203033240805229</v>
      </c>
      <c r="H89" s="1">
        <v>10.532999999999999</v>
      </c>
      <c r="I89" s="1">
        <v>-0.68902367433363909</v>
      </c>
      <c r="J89" s="2">
        <v>1.8</v>
      </c>
      <c r="K89" s="2">
        <v>49.6</v>
      </c>
      <c r="L89" s="2">
        <v>20.399999999999999</v>
      </c>
      <c r="M89" s="2">
        <v>13666.666666666666</v>
      </c>
      <c r="N89" s="2">
        <v>13500</v>
      </c>
      <c r="O89" s="2">
        <v>4833.333333333333</v>
      </c>
      <c r="P89" s="2">
        <v>966.66666666666663</v>
      </c>
      <c r="Q89" s="2">
        <v>4833.333333333333</v>
      </c>
    </row>
    <row r="90" spans="1:17" x14ac:dyDescent="0.25">
      <c r="A90" t="s">
        <v>97</v>
      </c>
      <c r="B90" t="s">
        <v>94</v>
      </c>
      <c r="C90" s="1">
        <v>-0.39545341478612273</v>
      </c>
      <c r="D90" s="1">
        <v>-0.56099724826960229</v>
      </c>
      <c r="E90" s="2">
        <f t="shared" si="3"/>
        <v>-0.47822533152786251</v>
      </c>
      <c r="F90" s="1">
        <v>-0.16735177048445862</v>
      </c>
      <c r="G90" s="1">
        <v>-0.26517450490760036</v>
      </c>
      <c r="H90" s="1">
        <v>10.532999999999999</v>
      </c>
      <c r="I90" s="1">
        <v>-0.68902367433363909</v>
      </c>
      <c r="J90" s="2">
        <v>1.7</v>
      </c>
      <c r="K90" s="2">
        <v>49.6</v>
      </c>
      <c r="L90" s="2">
        <v>20.399999999999999</v>
      </c>
      <c r="M90" s="2">
        <v>13666.666666666666</v>
      </c>
      <c r="N90" s="2">
        <v>13500</v>
      </c>
      <c r="O90" s="2">
        <v>4833.333333333333</v>
      </c>
      <c r="P90" s="2">
        <v>966.66666666666663</v>
      </c>
      <c r="Q90" s="2">
        <v>4833.333333333333</v>
      </c>
    </row>
    <row r="91" spans="1:17" x14ac:dyDescent="0.25">
      <c r="A91" t="s">
        <v>97</v>
      </c>
      <c r="B91" t="s">
        <v>94</v>
      </c>
      <c r="C91" s="1">
        <v>-0.46100036957342427</v>
      </c>
      <c r="D91" s="1">
        <v>-0.71060225017941714</v>
      </c>
      <c r="E91" s="2">
        <f t="shared" si="3"/>
        <v>-0.58580130987642076</v>
      </c>
      <c r="F91" s="1">
        <v>-0.18550326162406888</v>
      </c>
      <c r="G91" s="1">
        <v>-0.27847677317491626</v>
      </c>
      <c r="H91" s="1">
        <v>10.532999999999999</v>
      </c>
      <c r="I91" s="1">
        <v>-0.68902367433363909</v>
      </c>
      <c r="J91" s="2">
        <v>1.6</v>
      </c>
      <c r="K91" s="2">
        <v>49.6</v>
      </c>
      <c r="L91" s="2">
        <v>20.399999999999999</v>
      </c>
      <c r="M91" s="2">
        <v>13666.666666666666</v>
      </c>
      <c r="N91" s="2">
        <v>13500</v>
      </c>
      <c r="O91" s="2">
        <v>4833.333333333333</v>
      </c>
      <c r="P91" s="2">
        <v>966.66666666666663</v>
      </c>
      <c r="Q91" s="2">
        <v>4833.333333333333</v>
      </c>
    </row>
    <row r="92" spans="1:17" x14ac:dyDescent="0.25">
      <c r="A92" t="s">
        <v>97</v>
      </c>
      <c r="B92" t="s">
        <v>92</v>
      </c>
      <c r="C92" s="1">
        <v>-0.46763410232348268</v>
      </c>
      <c r="D92" s="1">
        <v>-0.7112341963785489</v>
      </c>
      <c r="E92" s="2">
        <f t="shared" si="3"/>
        <v>-0.58943414935101579</v>
      </c>
      <c r="F92" s="1">
        <v>-0.11520748684703228</v>
      </c>
      <c r="G92" s="1">
        <v>-0.169933959188134</v>
      </c>
      <c r="H92" s="2">
        <v>3</v>
      </c>
      <c r="I92" s="1">
        <v>-8.0274602834986539E-2</v>
      </c>
      <c r="J92" s="2">
        <v>1.7</v>
      </c>
      <c r="K92" s="2">
        <v>50.6</v>
      </c>
      <c r="L92" s="2">
        <v>17.8</v>
      </c>
      <c r="M92" s="2">
        <v>11166.666666666666</v>
      </c>
      <c r="N92" s="2">
        <v>11000</v>
      </c>
      <c r="O92" s="2">
        <v>6500</v>
      </c>
      <c r="P92" s="2">
        <v>1450</v>
      </c>
      <c r="Q92" s="2">
        <v>6500</v>
      </c>
    </row>
    <row r="93" spans="1:17" x14ac:dyDescent="0.25">
      <c r="A93" t="s">
        <v>97</v>
      </c>
      <c r="B93" t="s">
        <v>92</v>
      </c>
      <c r="C93" s="1">
        <v>-0.49998374728618683</v>
      </c>
      <c r="D93" s="1">
        <v>-0.69469775453868676</v>
      </c>
      <c r="E93" s="2">
        <f t="shared" si="3"/>
        <v>-0.59734075091243677</v>
      </c>
      <c r="F93" s="1">
        <v>-0.18451318028918035</v>
      </c>
      <c r="G93" s="1">
        <v>-0.22742595954043654</v>
      </c>
      <c r="H93" s="2">
        <v>3.2</v>
      </c>
      <c r="I93" s="1">
        <v>-8.0274602834986539E-2</v>
      </c>
      <c r="J93" s="2">
        <v>1.8</v>
      </c>
      <c r="K93" s="2">
        <v>50.6</v>
      </c>
      <c r="L93" s="2">
        <v>17.8</v>
      </c>
      <c r="M93" s="2">
        <v>11166.666666666666</v>
      </c>
      <c r="N93" s="2">
        <v>11000</v>
      </c>
      <c r="O93" s="2">
        <v>6500</v>
      </c>
      <c r="P93" s="2">
        <v>1450</v>
      </c>
      <c r="Q93" s="2">
        <v>6500</v>
      </c>
    </row>
    <row r="94" spans="1:17" x14ac:dyDescent="0.25">
      <c r="A94" t="s">
        <v>97</v>
      </c>
      <c r="B94" t="s">
        <v>92</v>
      </c>
      <c r="C94" s="1">
        <v>-0.62516275770359597</v>
      </c>
      <c r="D94" s="1">
        <v>-0.94171179030797048</v>
      </c>
      <c r="E94" s="2">
        <f t="shared" si="3"/>
        <v>-0.78343727400578322</v>
      </c>
      <c r="F94" s="1">
        <v>-0.22015610834514396</v>
      </c>
      <c r="G94" s="1">
        <v>-0.25699327400733529</v>
      </c>
      <c r="H94" s="2">
        <v>3</v>
      </c>
      <c r="I94" s="1">
        <v>-8.0274602834986539E-2</v>
      </c>
      <c r="J94" s="2">
        <v>1.85</v>
      </c>
      <c r="K94" s="2">
        <v>50.6</v>
      </c>
      <c r="L94" s="2">
        <v>17.8</v>
      </c>
      <c r="M94" s="2">
        <v>11166.666666666666</v>
      </c>
      <c r="N94" s="2">
        <v>11000</v>
      </c>
      <c r="O94" s="2">
        <v>6500</v>
      </c>
      <c r="P94" s="2">
        <v>1450</v>
      </c>
      <c r="Q94" s="2">
        <v>6500</v>
      </c>
    </row>
    <row r="95" spans="1:17" x14ac:dyDescent="0.25">
      <c r="A95" t="s">
        <v>97</v>
      </c>
      <c r="B95" t="s">
        <v>92</v>
      </c>
      <c r="C95" s="1">
        <v>-0.47904611326192331</v>
      </c>
      <c r="D95" s="1">
        <v>-0.74370559531808633</v>
      </c>
      <c r="E95" s="2">
        <f t="shared" si="3"/>
        <v>-0.61137585429000485</v>
      </c>
      <c r="F95" s="1">
        <v>-9.5735887260903985E-2</v>
      </c>
      <c r="G95" s="1">
        <v>-1.115828669896583E-2</v>
      </c>
      <c r="H95" s="1">
        <v>10.532999999999999</v>
      </c>
      <c r="I95" s="1">
        <v>-8.0274602834986539E-2</v>
      </c>
      <c r="J95" s="2">
        <v>1.5</v>
      </c>
      <c r="K95" s="2">
        <v>39.4</v>
      </c>
      <c r="L95" s="2">
        <v>17.2</v>
      </c>
      <c r="M95" s="2">
        <v>13333.333333333334</v>
      </c>
      <c r="N95" s="2">
        <v>12333.333333333334</v>
      </c>
      <c r="O95" s="2">
        <v>3500</v>
      </c>
      <c r="P95" s="2">
        <v>766.66666666666663</v>
      </c>
      <c r="Q95" s="2">
        <v>3500</v>
      </c>
    </row>
    <row r="96" spans="1:17" x14ac:dyDescent="0.25">
      <c r="A96" t="s">
        <v>97</v>
      </c>
      <c r="B96" t="s">
        <v>92</v>
      </c>
      <c r="C96" s="1">
        <v>-0.41073569407645449</v>
      </c>
      <c r="D96" s="1">
        <v>-0.49770762990819084</v>
      </c>
      <c r="E96" s="2">
        <f t="shared" si="3"/>
        <v>-0.45422166199232267</v>
      </c>
      <c r="F96" s="1">
        <v>-6.1413067651460387E-2</v>
      </c>
      <c r="G96" s="1">
        <v>2.5349049545779559E-2</v>
      </c>
      <c r="H96" s="1">
        <v>10.532999999999999</v>
      </c>
      <c r="I96" s="1">
        <v>-8.0274602834986539E-2</v>
      </c>
      <c r="J96" s="2">
        <v>1.8</v>
      </c>
      <c r="K96" s="2">
        <v>39.4</v>
      </c>
      <c r="L96" s="2">
        <v>17.2</v>
      </c>
      <c r="M96" s="2">
        <v>13333.333333333334</v>
      </c>
      <c r="N96" s="2">
        <v>12333.333333333334</v>
      </c>
      <c r="O96" s="2">
        <v>3500</v>
      </c>
      <c r="P96" s="2">
        <v>766.66666666666663</v>
      </c>
      <c r="Q96" s="2">
        <v>3500</v>
      </c>
    </row>
    <row r="97" spans="1:17" x14ac:dyDescent="0.25">
      <c r="A97" t="s">
        <v>97</v>
      </c>
      <c r="B97" t="s">
        <v>92</v>
      </c>
      <c r="C97" s="1">
        <v>-0.47719848749888394</v>
      </c>
      <c r="D97" s="1">
        <v>-0.66982158479476006</v>
      </c>
      <c r="E97" s="2">
        <f t="shared" si="3"/>
        <v>-0.57351003614682194</v>
      </c>
      <c r="F97" s="1">
        <v>-8.4844992577138595E-2</v>
      </c>
      <c r="G97" s="1">
        <v>4.2577191715490001E-2</v>
      </c>
      <c r="H97" s="1">
        <v>10.532999999999999</v>
      </c>
      <c r="I97" s="1">
        <v>-8.0274602834986539E-2</v>
      </c>
      <c r="J97" s="2">
        <v>1.65</v>
      </c>
      <c r="K97" s="2">
        <v>39.4</v>
      </c>
      <c r="L97" s="2">
        <v>17.2</v>
      </c>
      <c r="M97" s="2">
        <v>13333.333333333334</v>
      </c>
      <c r="N97" s="2">
        <v>12333.333333333334</v>
      </c>
      <c r="O97" s="2">
        <v>3500</v>
      </c>
      <c r="P97" s="2">
        <v>766.66666666666663</v>
      </c>
      <c r="Q97" s="2">
        <v>3500</v>
      </c>
    </row>
    <row r="98" spans="1:17" x14ac:dyDescent="0.25">
      <c r="A98" t="s">
        <v>97</v>
      </c>
      <c r="B98" t="s">
        <v>92</v>
      </c>
      <c r="C98" s="1">
        <v>-0.55468226371702134</v>
      </c>
      <c r="D98" s="1">
        <v>-0.81267291984931134</v>
      </c>
      <c r="E98" s="2">
        <f t="shared" si="3"/>
        <v>-0.68367759178316634</v>
      </c>
      <c r="F98" s="1">
        <v>-7.9894585902698059E-2</v>
      </c>
      <c r="G98" s="1">
        <v>-8.01990745015288E-2</v>
      </c>
      <c r="H98" s="1">
        <v>10.532999999999999</v>
      </c>
      <c r="I98" s="1">
        <v>-2.9500916541857793</v>
      </c>
      <c r="J98" s="2">
        <v>2.1</v>
      </c>
      <c r="K98" s="2">
        <v>52.6</v>
      </c>
      <c r="L98" s="2">
        <v>16.8</v>
      </c>
      <c r="M98" s="2">
        <v>16166.666666666666</v>
      </c>
      <c r="N98" s="2">
        <v>15333.333333333334</v>
      </c>
      <c r="O98" s="2">
        <v>8666.6666666666661</v>
      </c>
      <c r="P98" s="2">
        <v>2116.6666666666665</v>
      </c>
      <c r="Q98" s="2">
        <v>8666.6666666666661</v>
      </c>
    </row>
    <row r="99" spans="1:17" x14ac:dyDescent="0.25">
      <c r="A99" t="s">
        <v>97</v>
      </c>
      <c r="B99" t="s">
        <v>92</v>
      </c>
      <c r="C99" s="1">
        <v>-0.5299171979199101</v>
      </c>
      <c r="D99" s="1">
        <v>-0.80211518469731347</v>
      </c>
      <c r="E99" s="2">
        <f t="shared" si="3"/>
        <v>-0.66601619130861178</v>
      </c>
      <c r="F99" s="1">
        <v>-7.9894585902700294E-2</v>
      </c>
      <c r="G99" s="1">
        <v>-8.019907450152973E-2</v>
      </c>
      <c r="H99" s="1">
        <v>10.532999999999999</v>
      </c>
      <c r="I99" s="1">
        <v>-2.9500916541857793</v>
      </c>
      <c r="J99" s="2">
        <v>1.95</v>
      </c>
      <c r="K99" s="2">
        <v>52.6</v>
      </c>
      <c r="L99" s="2">
        <v>16.8</v>
      </c>
      <c r="M99" s="2">
        <v>16166.666666666666</v>
      </c>
      <c r="N99" s="2">
        <v>15333.333333333334</v>
      </c>
      <c r="O99" s="2">
        <v>8666.6666666666661</v>
      </c>
      <c r="P99" s="2">
        <v>2116.6666666666665</v>
      </c>
      <c r="Q99" s="2">
        <v>8666.6666666666661</v>
      </c>
    </row>
    <row r="100" spans="1:17" x14ac:dyDescent="0.25">
      <c r="A100" t="s">
        <v>97</v>
      </c>
      <c r="B100" t="s">
        <v>92</v>
      </c>
      <c r="C100" s="1">
        <v>-0.54724935614900239</v>
      </c>
      <c r="D100" s="1">
        <v>-0.81785653082911769</v>
      </c>
      <c r="E100" s="2">
        <f t="shared" si="3"/>
        <v>-0.68255294348906004</v>
      </c>
      <c r="F100" s="1">
        <v>-0.15415068601928678</v>
      </c>
      <c r="G100" s="1">
        <v>-0.14897784792913099</v>
      </c>
      <c r="H100" s="1">
        <v>10.532999999999999</v>
      </c>
      <c r="I100" s="1">
        <v>-2.9500916541857793</v>
      </c>
      <c r="J100" s="2">
        <v>2.2000000000000002</v>
      </c>
      <c r="K100" s="2">
        <v>52.6</v>
      </c>
      <c r="L100" s="2">
        <v>16.8</v>
      </c>
      <c r="M100" s="2">
        <v>16166.666666666666</v>
      </c>
      <c r="N100" s="2">
        <v>15333.333333333334</v>
      </c>
      <c r="O100" s="2">
        <v>8666.6666666666661</v>
      </c>
      <c r="P100" s="2">
        <v>2116.6666666666665</v>
      </c>
      <c r="Q100" s="2">
        <v>8666.6666666666661</v>
      </c>
    </row>
    <row r="101" spans="1:17" x14ac:dyDescent="0.25">
      <c r="A101" t="s">
        <v>97</v>
      </c>
      <c r="B101" t="s">
        <v>95</v>
      </c>
      <c r="C101" s="1">
        <v>-0.5185337195209242</v>
      </c>
      <c r="D101" s="1">
        <v>-0.79576422865522223</v>
      </c>
      <c r="E101" s="2">
        <f t="shared" si="3"/>
        <v>-0.65714897408807316</v>
      </c>
      <c r="F101" s="1">
        <v>-9.375572459112691E-2</v>
      </c>
      <c r="G101" s="1">
        <v>-0.22679275813427779</v>
      </c>
      <c r="H101" s="2">
        <v>4.9000000000000004</v>
      </c>
      <c r="I101" s="1">
        <v>1.4850801524472643</v>
      </c>
      <c r="J101" s="2">
        <v>1.5</v>
      </c>
      <c r="K101" s="2">
        <v>52.6</v>
      </c>
      <c r="L101" s="2">
        <v>18</v>
      </c>
      <c r="M101" s="2">
        <v>14333.333333333334</v>
      </c>
      <c r="N101" s="2">
        <v>9333.3333333333339</v>
      </c>
      <c r="O101" s="2">
        <v>2166.6666666666665</v>
      </c>
      <c r="P101" s="2">
        <v>533.33333333333337</v>
      </c>
      <c r="Q101" s="2">
        <v>2166.6666666666665</v>
      </c>
    </row>
    <row r="102" spans="1:17" x14ac:dyDescent="0.25">
      <c r="A102" t="s">
        <v>97</v>
      </c>
      <c r="B102" t="s">
        <v>95</v>
      </c>
      <c r="C102" s="1">
        <v>-0.45344871025830435</v>
      </c>
      <c r="D102" s="1">
        <v>-0.7071952134407975</v>
      </c>
      <c r="E102" s="2">
        <f t="shared" si="3"/>
        <v>-0.58032196184955098</v>
      </c>
      <c r="F102" s="1">
        <v>-0.13995952021922842</v>
      </c>
      <c r="G102" s="1">
        <v>-0.25947737183149694</v>
      </c>
      <c r="H102" s="2">
        <v>3.7</v>
      </c>
      <c r="I102" s="1">
        <v>1.4850801524472643</v>
      </c>
      <c r="J102" s="2">
        <v>1.65</v>
      </c>
      <c r="K102" s="2">
        <v>52.6</v>
      </c>
      <c r="L102" s="2">
        <v>18</v>
      </c>
      <c r="M102" s="2">
        <v>14333.333333333334</v>
      </c>
      <c r="N102" s="2">
        <v>9333.3333333333339</v>
      </c>
      <c r="O102" s="2">
        <v>2166.6666666666665</v>
      </c>
      <c r="P102" s="2">
        <v>533.33333333333337</v>
      </c>
      <c r="Q102" s="2">
        <v>2166.6666666666665</v>
      </c>
    </row>
    <row r="103" spans="1:17" x14ac:dyDescent="0.25">
      <c r="A103" t="s">
        <v>97</v>
      </c>
      <c r="B103" t="s">
        <v>95</v>
      </c>
      <c r="C103" s="1">
        <v>-4.607976813078507E-2</v>
      </c>
      <c r="D103" s="1">
        <v>0.35479037420012394</v>
      </c>
      <c r="E103" s="2">
        <f t="shared" si="3"/>
        <v>0.15435530303466943</v>
      </c>
      <c r="F103" s="1">
        <v>-0.19078369541013676</v>
      </c>
      <c r="G103" s="1">
        <v>-0.29543044689843773</v>
      </c>
      <c r="H103" s="2">
        <v>3.4</v>
      </c>
      <c r="I103" s="1">
        <v>1.4850801524472643</v>
      </c>
      <c r="J103" s="2">
        <v>1.75</v>
      </c>
      <c r="K103" s="2">
        <v>52.6</v>
      </c>
      <c r="L103" s="2">
        <v>18</v>
      </c>
      <c r="M103" s="2">
        <v>14333.333333333334</v>
      </c>
      <c r="N103" s="2">
        <v>9333.3333333333339</v>
      </c>
      <c r="O103" s="2">
        <v>2166.6666666666665</v>
      </c>
      <c r="P103" s="2">
        <v>533.33333333333337</v>
      </c>
      <c r="Q103" s="2">
        <v>2166.6666666666665</v>
      </c>
    </row>
    <row r="104" spans="1:17" x14ac:dyDescent="0.25">
      <c r="A104" t="s">
        <v>97</v>
      </c>
      <c r="B104" t="s">
        <v>95</v>
      </c>
      <c r="C104" s="1">
        <v>-0.47990186507907817</v>
      </c>
      <c r="D104" s="1">
        <v>-0.63373508186313066</v>
      </c>
      <c r="E104" s="2">
        <f t="shared" si="3"/>
        <v>-0.55681847347110436</v>
      </c>
      <c r="F104" s="1">
        <v>-0.14755014378670292</v>
      </c>
      <c r="G104" s="1">
        <v>-0.145700988662776</v>
      </c>
      <c r="H104" s="1">
        <v>10.532999999999999</v>
      </c>
      <c r="I104" s="1">
        <v>-0.42813121511993141</v>
      </c>
      <c r="J104" s="2">
        <v>1.6</v>
      </c>
      <c r="K104" s="2">
        <v>52.2</v>
      </c>
      <c r="L104" s="2">
        <v>17.8</v>
      </c>
      <c r="M104" s="2">
        <v>13333.333333333334</v>
      </c>
      <c r="N104" s="2">
        <v>11333.333333333334</v>
      </c>
      <c r="O104" s="2">
        <v>4000</v>
      </c>
      <c r="P104" s="2">
        <v>800</v>
      </c>
      <c r="Q104" s="2">
        <v>4000</v>
      </c>
    </row>
    <row r="105" spans="1:17" x14ac:dyDescent="0.25">
      <c r="A105" t="s">
        <v>97</v>
      </c>
      <c r="B105" t="s">
        <v>95</v>
      </c>
      <c r="C105" s="1">
        <v>0.20403670235318733</v>
      </c>
      <c r="D105" s="1">
        <v>-0.4353316178190112</v>
      </c>
      <c r="E105" s="2">
        <f t="shared" si="3"/>
        <v>-0.11564745773291193</v>
      </c>
      <c r="F105" s="1">
        <v>-7.6594314786407297E-2</v>
      </c>
      <c r="G105" s="1">
        <v>-8.0340159164971128E-2</v>
      </c>
      <c r="H105" s="1">
        <v>10.532999999999999</v>
      </c>
      <c r="I105" s="1">
        <v>-0.42813121511993141</v>
      </c>
      <c r="J105" s="2">
        <v>1.7</v>
      </c>
      <c r="K105" s="2">
        <v>52.2</v>
      </c>
      <c r="L105" s="2">
        <v>17.8</v>
      </c>
      <c r="M105" s="2">
        <v>13333.333333333334</v>
      </c>
      <c r="N105" s="2">
        <v>11333.333333333334</v>
      </c>
      <c r="O105" s="2">
        <v>4000</v>
      </c>
      <c r="P105" s="2">
        <v>800</v>
      </c>
      <c r="Q105" s="2">
        <v>4000</v>
      </c>
    </row>
    <row r="106" spans="1:17" x14ac:dyDescent="0.25">
      <c r="A106" t="s">
        <v>97</v>
      </c>
      <c r="B106" t="s">
        <v>95</v>
      </c>
      <c r="C106" s="1">
        <v>-0.10382479704947192</v>
      </c>
      <c r="D106" s="1">
        <v>0.1693198440100101</v>
      </c>
      <c r="E106" s="2">
        <f t="shared" si="3"/>
        <v>3.2747523480269089E-2</v>
      </c>
      <c r="F106" s="1">
        <v>-0.11718764951680723</v>
      </c>
      <c r="G106" s="1">
        <v>-0.1177326337148777</v>
      </c>
      <c r="H106" s="1">
        <v>10.532999999999999</v>
      </c>
      <c r="I106" s="1">
        <v>-0.42813121511993141</v>
      </c>
      <c r="J106" s="2">
        <v>1.7</v>
      </c>
      <c r="K106" s="2">
        <v>52.2</v>
      </c>
      <c r="L106" s="2">
        <v>17.8</v>
      </c>
      <c r="M106" s="2">
        <v>13333.333333333334</v>
      </c>
      <c r="N106" s="2">
        <v>11333.333333333334</v>
      </c>
      <c r="O106" s="2">
        <v>4000</v>
      </c>
      <c r="P106" s="2">
        <v>800</v>
      </c>
      <c r="Q106" s="2">
        <v>4000</v>
      </c>
    </row>
    <row r="107" spans="1:17" x14ac:dyDescent="0.25">
      <c r="A107" t="s">
        <v>97</v>
      </c>
      <c r="B107" t="s">
        <v>95</v>
      </c>
      <c r="C107" s="1">
        <v>-0.57804961353034734</v>
      </c>
      <c r="D107" s="1">
        <v>-0.86422713207815338</v>
      </c>
      <c r="E107" s="2">
        <f t="shared" si="3"/>
        <v>-0.72113837280425042</v>
      </c>
      <c r="F107" s="1">
        <v>-0.66074230237023301</v>
      </c>
      <c r="G107" s="1">
        <v>-0.61865205168365112</v>
      </c>
      <c r="H107" s="1">
        <v>10.532999999999999</v>
      </c>
      <c r="I107" s="1">
        <v>-1.2108085927610563</v>
      </c>
      <c r="J107" s="2">
        <v>1.6</v>
      </c>
      <c r="K107" s="2">
        <v>51.4</v>
      </c>
      <c r="L107" s="2">
        <v>19.2</v>
      </c>
      <c r="M107" s="2">
        <v>14833.333333333334</v>
      </c>
      <c r="N107" s="2">
        <v>14000</v>
      </c>
      <c r="O107" s="2">
        <v>4500</v>
      </c>
      <c r="P107" s="2">
        <v>950</v>
      </c>
      <c r="Q107" s="2">
        <v>4500</v>
      </c>
    </row>
    <row r="108" spans="1:17" x14ac:dyDescent="0.25">
      <c r="A108" t="s">
        <v>97</v>
      </c>
      <c r="B108" t="s">
        <v>95</v>
      </c>
      <c r="C108" s="1">
        <v>-0.57724988695704071</v>
      </c>
      <c r="D108" s="1">
        <v>-0.87479261166886602</v>
      </c>
      <c r="E108" s="2">
        <f t="shared" si="3"/>
        <v>-0.72602124931295342</v>
      </c>
      <c r="F108" s="1">
        <v>-0.23335719281031586</v>
      </c>
      <c r="G108" s="1">
        <v>-0.22714211063422782</v>
      </c>
      <c r="H108" s="1">
        <v>10.532999999999999</v>
      </c>
      <c r="I108" s="1">
        <v>-1.2108085927610563</v>
      </c>
      <c r="J108" s="2">
        <v>1.75</v>
      </c>
      <c r="K108" s="2">
        <v>51.4</v>
      </c>
      <c r="L108" s="2">
        <v>19.2</v>
      </c>
      <c r="M108" s="2">
        <v>14833.333333333334</v>
      </c>
      <c r="N108" s="2">
        <v>14000</v>
      </c>
      <c r="O108" s="2">
        <v>4500</v>
      </c>
      <c r="P108" s="2">
        <v>950</v>
      </c>
      <c r="Q108" s="2">
        <v>4500</v>
      </c>
    </row>
    <row r="109" spans="1:17" x14ac:dyDescent="0.25">
      <c r="A109" t="s">
        <v>97</v>
      </c>
      <c r="B109" t="s">
        <v>95</v>
      </c>
      <c r="C109" s="1">
        <v>-0.55876424978612005</v>
      </c>
      <c r="D109" s="1">
        <v>-0.83552366072134765</v>
      </c>
      <c r="E109" s="2">
        <f t="shared" si="3"/>
        <v>-0.69714395525373385</v>
      </c>
      <c r="F109" s="1">
        <v>-0.48318771631368024</v>
      </c>
      <c r="G109" s="1">
        <v>-0.45600158968782845</v>
      </c>
      <c r="H109" s="1">
        <v>10.532999999999999</v>
      </c>
      <c r="I109" s="1">
        <v>-1.2108085927610563</v>
      </c>
      <c r="J109" s="2">
        <v>1.6</v>
      </c>
      <c r="K109" s="2">
        <v>51.4</v>
      </c>
      <c r="L109" s="2">
        <v>19.2</v>
      </c>
      <c r="M109" s="2">
        <v>14833.333333333334</v>
      </c>
      <c r="N109" s="2">
        <v>14000</v>
      </c>
      <c r="O109" s="2">
        <v>4500</v>
      </c>
      <c r="P109" s="2">
        <v>950</v>
      </c>
      <c r="Q109" s="2">
        <v>4500</v>
      </c>
    </row>
  </sheetData>
  <autoFilter ref="A1:Q109" xr:uid="{BE0D53AD-CB7A-40E3-8157-A7763EA62F41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A8AD7-F5EC-4F66-81EB-461B245BEE71}">
  <dimension ref="X6:AL41"/>
  <sheetViews>
    <sheetView topLeftCell="J8" workbookViewId="0">
      <selection activeCell="X6" sqref="X6:AL41"/>
    </sheetView>
  </sheetViews>
  <sheetFormatPr defaultRowHeight="15" x14ac:dyDescent="0.25"/>
  <sheetData>
    <row r="6" spans="24:38" x14ac:dyDescent="0.25">
      <c r="X6" s="1">
        <v>-0.59623727788477476</v>
      </c>
      <c r="Y6" s="1">
        <v>-0.89499475450042376</v>
      </c>
      <c r="Z6" s="2">
        <f t="shared" ref="Z6:Z41" si="0">(X6+Y6)/2</f>
        <v>-0.74561601619259932</v>
      </c>
      <c r="AA6" s="1">
        <v>-0.47262684874154443</v>
      </c>
      <c r="AB6" s="1">
        <v>-0.4983538619894255</v>
      </c>
      <c r="AC6" s="2">
        <v>10.4</v>
      </c>
      <c r="AD6" s="1">
        <v>-8.0274602834986539E-2</v>
      </c>
      <c r="AE6" s="2">
        <v>2</v>
      </c>
      <c r="AF6" s="2">
        <v>55.2</v>
      </c>
      <c r="AG6" s="2">
        <v>18.399999999999999</v>
      </c>
      <c r="AH6" s="2">
        <v>13666.666666666666</v>
      </c>
      <c r="AI6" s="2">
        <v>12500</v>
      </c>
      <c r="AJ6" s="2">
        <v>10000</v>
      </c>
      <c r="AK6" s="2">
        <v>2213.3333333333335</v>
      </c>
      <c r="AL6" s="2">
        <v>10000</v>
      </c>
    </row>
    <row r="7" spans="24:38" x14ac:dyDescent="0.25">
      <c r="X7" s="1">
        <v>-0.55089982538502436</v>
      </c>
      <c r="Y7" s="1">
        <v>-0.76189883074701181</v>
      </c>
      <c r="Z7" s="2">
        <f t="shared" si="0"/>
        <v>-0.65639932806601808</v>
      </c>
      <c r="AA7" s="1">
        <v>-0.48714804165323217</v>
      </c>
      <c r="AB7" s="1">
        <v>-0.50840446468028666</v>
      </c>
      <c r="AC7" s="2">
        <v>6.9</v>
      </c>
      <c r="AD7" s="1">
        <v>-8.0274602834986539E-2</v>
      </c>
      <c r="AE7" s="2">
        <v>2.1</v>
      </c>
      <c r="AF7" s="2">
        <v>55.2</v>
      </c>
      <c r="AG7" s="2">
        <v>18.399999999999999</v>
      </c>
      <c r="AH7" s="2">
        <v>13666.666666666666</v>
      </c>
      <c r="AI7" s="2">
        <v>12500</v>
      </c>
      <c r="AJ7" s="2">
        <v>10000</v>
      </c>
      <c r="AK7" s="2">
        <v>2213.3333333333335</v>
      </c>
      <c r="AL7" s="2">
        <v>10000</v>
      </c>
    </row>
    <row r="8" spans="24:38" x14ac:dyDescent="0.25">
      <c r="X8" s="1">
        <v>0.33362090327498295</v>
      </c>
      <c r="Y8" s="1">
        <v>0.98641595356908829</v>
      </c>
      <c r="Z8" s="2">
        <f t="shared" si="0"/>
        <v>0.66001842842203562</v>
      </c>
      <c r="AA8" s="1">
        <v>-0.51190007502542634</v>
      </c>
      <c r="AB8" s="1">
        <v>-0.52553617381243645</v>
      </c>
      <c r="AC8" s="2">
        <v>5.8</v>
      </c>
      <c r="AD8" s="1">
        <v>-8.0274602834986539E-2</v>
      </c>
      <c r="AE8" s="2">
        <v>1.95</v>
      </c>
      <c r="AF8" s="2">
        <v>55.2</v>
      </c>
      <c r="AG8" s="2">
        <v>18.399999999999999</v>
      </c>
      <c r="AH8" s="2">
        <v>13666.666666666666</v>
      </c>
      <c r="AI8" s="2">
        <v>12500</v>
      </c>
      <c r="AJ8" s="2">
        <v>10000</v>
      </c>
      <c r="AK8" s="2">
        <v>2213.3333333333335</v>
      </c>
      <c r="AL8" s="2">
        <v>10000</v>
      </c>
    </row>
    <row r="9" spans="24:38" x14ac:dyDescent="0.25">
      <c r="X9" s="1">
        <v>-0.62098959248668473</v>
      </c>
      <c r="Y9" s="1">
        <v>-0.88960978811403135</v>
      </c>
      <c r="Z9" s="2">
        <f t="shared" si="0"/>
        <v>-0.75529969030035804</v>
      </c>
      <c r="AA9" s="1">
        <v>-0.32114440450370374</v>
      </c>
      <c r="AB9" s="1">
        <v>-0.37788099604522557</v>
      </c>
      <c r="AC9" s="2">
        <v>12.6</v>
      </c>
      <c r="AD9" s="1">
        <v>-0.77598782740487526</v>
      </c>
      <c r="AE9" s="2">
        <v>1.9</v>
      </c>
      <c r="AF9" s="2">
        <v>53</v>
      </c>
      <c r="AG9" s="2">
        <v>15.6</v>
      </c>
      <c r="AH9" s="2">
        <v>13166.666666666666</v>
      </c>
      <c r="AI9" s="2">
        <v>13000</v>
      </c>
      <c r="AJ9" s="2">
        <v>8500</v>
      </c>
      <c r="AK9" s="2">
        <v>1635</v>
      </c>
      <c r="AL9" s="2">
        <v>8500</v>
      </c>
    </row>
    <row r="10" spans="24:38" x14ac:dyDescent="0.25">
      <c r="X10" s="1">
        <v>-0.58057461104004349</v>
      </c>
      <c r="Y10" s="1">
        <v>-0.91508899148588785</v>
      </c>
      <c r="Z10" s="2">
        <f t="shared" si="0"/>
        <v>-0.74783180126296567</v>
      </c>
      <c r="AA10" s="1">
        <v>-0.22048613545677348</v>
      </c>
      <c r="AB10" s="1">
        <v>-0.30411387201738044</v>
      </c>
      <c r="AC10" s="2">
        <v>7.8</v>
      </c>
      <c r="AD10" s="1">
        <v>-0.77598782740487526</v>
      </c>
      <c r="AE10" s="2">
        <v>2.1</v>
      </c>
      <c r="AF10" s="2">
        <v>53</v>
      </c>
      <c r="AG10" s="2">
        <v>15.6</v>
      </c>
      <c r="AH10" s="2">
        <v>13166.666666666666</v>
      </c>
      <c r="AI10" s="2">
        <v>13000</v>
      </c>
      <c r="AJ10" s="2">
        <v>8500</v>
      </c>
      <c r="AK10" s="2">
        <v>1635</v>
      </c>
      <c r="AL10" s="2">
        <v>8500</v>
      </c>
    </row>
    <row r="11" spans="24:38" x14ac:dyDescent="0.25">
      <c r="X11" s="1">
        <v>-0.56943555935830115</v>
      </c>
      <c r="Y11" s="1">
        <v>-0.8538821108428567</v>
      </c>
      <c r="Z11" s="2">
        <f t="shared" si="0"/>
        <v>-0.71165883510057892</v>
      </c>
      <c r="AA11" s="1">
        <v>-0.43236354112277192</v>
      </c>
      <c r="AB11" s="1">
        <v>-0.45938762161041824</v>
      </c>
      <c r="AC11" s="2">
        <v>6.3</v>
      </c>
      <c r="AD11" s="1">
        <v>-0.77598782740487526</v>
      </c>
      <c r="AE11" s="2">
        <v>2</v>
      </c>
      <c r="AF11" s="2">
        <v>53</v>
      </c>
      <c r="AG11" s="2">
        <v>15.6</v>
      </c>
      <c r="AH11" s="2">
        <v>13166.666666666666</v>
      </c>
      <c r="AI11" s="2">
        <v>13000</v>
      </c>
      <c r="AJ11" s="2">
        <v>8500</v>
      </c>
      <c r="AK11" s="2">
        <v>1635</v>
      </c>
      <c r="AL11" s="2">
        <v>8500</v>
      </c>
    </row>
    <row r="12" spans="24:38" x14ac:dyDescent="0.25">
      <c r="X12" s="1">
        <v>-0.39800439495666162</v>
      </c>
      <c r="Y12" s="1">
        <v>-0.42720225984819654</v>
      </c>
      <c r="Z12" s="2">
        <f t="shared" si="0"/>
        <v>-0.41260332740242911</v>
      </c>
      <c r="AA12" s="1">
        <v>-0.25579903640110552</v>
      </c>
      <c r="AB12" s="1">
        <v>-0.29570421832868665</v>
      </c>
      <c r="AC12" s="1">
        <v>10.532999999999999</v>
      </c>
      <c r="AD12" s="1">
        <v>6.6895502362496802E-3</v>
      </c>
      <c r="AE12" s="2">
        <v>2.2000000000000002</v>
      </c>
      <c r="AF12" s="2">
        <v>52</v>
      </c>
      <c r="AG12" s="2">
        <v>16.8</v>
      </c>
      <c r="AH12" s="2">
        <v>11666.666666666666</v>
      </c>
      <c r="AI12" s="2">
        <v>10500</v>
      </c>
      <c r="AJ12" s="2">
        <v>8000</v>
      </c>
      <c r="AK12" s="2">
        <v>1935</v>
      </c>
      <c r="AL12" s="2">
        <v>8000</v>
      </c>
    </row>
    <row r="13" spans="24:38" x14ac:dyDescent="0.25">
      <c r="X13" s="1">
        <v>-0.56260985644614625</v>
      </c>
      <c r="Y13" s="1">
        <v>-0.83692695301647857</v>
      </c>
      <c r="Z13" s="2">
        <f t="shared" si="0"/>
        <v>-0.69976840473131241</v>
      </c>
      <c r="AA13" s="1">
        <v>-0.34028597697820256</v>
      </c>
      <c r="AB13" s="1">
        <v>-0.36406981524192517</v>
      </c>
      <c r="AC13" s="1">
        <v>10.532999999999999</v>
      </c>
      <c r="AD13" s="1">
        <v>6.6895502362496802E-3</v>
      </c>
      <c r="AE13" s="2">
        <v>2.2000000000000002</v>
      </c>
      <c r="AF13" s="2">
        <v>52</v>
      </c>
      <c r="AG13" s="2">
        <v>16.8</v>
      </c>
      <c r="AH13" s="2">
        <v>11666.666666666666</v>
      </c>
      <c r="AI13" s="2">
        <v>10500</v>
      </c>
      <c r="AJ13" s="2">
        <v>8000</v>
      </c>
      <c r="AK13" s="2">
        <v>1935</v>
      </c>
      <c r="AL13" s="2">
        <v>8000</v>
      </c>
    </row>
    <row r="14" spans="24:38" x14ac:dyDescent="0.25">
      <c r="X14" s="1">
        <v>-0.47869372391232407</v>
      </c>
      <c r="Y14" s="1">
        <v>-0.71908757353132113</v>
      </c>
      <c r="Z14" s="2">
        <f t="shared" si="0"/>
        <v>-0.59889064872182263</v>
      </c>
      <c r="AA14" s="1">
        <v>-0.13071876109361491</v>
      </c>
      <c r="AB14" s="1">
        <v>-0.19449108852354199</v>
      </c>
      <c r="AC14" s="1">
        <v>10.532999999999999</v>
      </c>
      <c r="AD14" s="1">
        <v>6.6895502362496802E-3</v>
      </c>
      <c r="AE14" s="2">
        <v>2.15</v>
      </c>
      <c r="AF14" s="2">
        <v>52</v>
      </c>
      <c r="AG14" s="2">
        <v>16.8</v>
      </c>
      <c r="AH14" s="2">
        <v>11666.666666666666</v>
      </c>
      <c r="AI14" s="2">
        <v>10500</v>
      </c>
      <c r="AJ14" s="2">
        <v>8000</v>
      </c>
      <c r="AK14" s="2">
        <v>1935</v>
      </c>
      <c r="AL14" s="2">
        <v>8000</v>
      </c>
    </row>
    <row r="15" spans="24:38" x14ac:dyDescent="0.25">
      <c r="X15" s="1">
        <v>-0.49763568092603638</v>
      </c>
      <c r="Y15" s="1">
        <v>-0.52935915093578279</v>
      </c>
      <c r="Z15" s="2">
        <f t="shared" si="0"/>
        <v>-0.51349741593090958</v>
      </c>
      <c r="AA15" s="1">
        <v>-0.37757904059230946</v>
      </c>
      <c r="AB15" s="1">
        <v>-0.44089881238230932</v>
      </c>
      <c r="AC15" s="2">
        <v>17.7</v>
      </c>
      <c r="AD15" s="1">
        <v>0.35454616252119453</v>
      </c>
      <c r="AE15" s="2">
        <v>2.1</v>
      </c>
      <c r="AF15" s="2">
        <v>52.8</v>
      </c>
      <c r="AG15" s="2">
        <v>16.600000000000001</v>
      </c>
      <c r="AH15" s="2">
        <v>10833.333333333334</v>
      </c>
      <c r="AI15" s="2">
        <v>10333.333333333334</v>
      </c>
      <c r="AJ15" s="2">
        <v>7666.666666666667</v>
      </c>
      <c r="AK15" s="2">
        <v>1940</v>
      </c>
      <c r="AL15" s="2">
        <v>7666.666666666667</v>
      </c>
    </row>
    <row r="16" spans="24:38" x14ac:dyDescent="0.25">
      <c r="X16" s="1">
        <v>-0.51644065859286015</v>
      </c>
      <c r="Y16" s="1">
        <v>-0.76582784265501236</v>
      </c>
      <c r="Z16" s="2">
        <f t="shared" si="0"/>
        <v>-0.64113425062393625</v>
      </c>
      <c r="AA16" s="1">
        <v>0.33494949341530622</v>
      </c>
      <c r="AB16" s="1">
        <v>3.4134929003649693E-2</v>
      </c>
      <c r="AC16" s="2">
        <v>13.5</v>
      </c>
      <c r="AD16" s="1">
        <v>0.35454616252119453</v>
      </c>
      <c r="AE16" s="2">
        <v>2.15</v>
      </c>
      <c r="AF16" s="2">
        <v>52.8</v>
      </c>
      <c r="AG16" s="2">
        <v>16.600000000000001</v>
      </c>
      <c r="AH16" s="2">
        <v>10833.333333333334</v>
      </c>
      <c r="AI16" s="2">
        <v>10333.333333333334</v>
      </c>
      <c r="AJ16" s="2">
        <v>7666.666666666667</v>
      </c>
      <c r="AK16" s="2">
        <v>1940</v>
      </c>
      <c r="AL16" s="2">
        <v>7666.666666666667</v>
      </c>
    </row>
    <row r="17" spans="24:38" x14ac:dyDescent="0.25">
      <c r="X17" s="1">
        <v>-0.45165196027284699</v>
      </c>
      <c r="Y17" s="1">
        <v>-0.58088548318525135</v>
      </c>
      <c r="Z17" s="2">
        <f t="shared" si="0"/>
        <v>-0.51626872172904914</v>
      </c>
      <c r="AA17" s="1">
        <v>-1.0330128842880626</v>
      </c>
      <c r="AB17" s="1">
        <v>-0.87786824748768977</v>
      </c>
      <c r="AC17" s="2">
        <v>12.5</v>
      </c>
      <c r="AD17" s="1">
        <v>0.35454616252119453</v>
      </c>
      <c r="AE17" s="2">
        <v>2.2999999999999998</v>
      </c>
      <c r="AF17" s="2">
        <v>52.8</v>
      </c>
      <c r="AG17" s="2">
        <v>16.600000000000001</v>
      </c>
      <c r="AH17" s="2">
        <v>10833.333333333334</v>
      </c>
      <c r="AI17" s="2">
        <v>10333.333333333334</v>
      </c>
      <c r="AJ17" s="2">
        <v>7666.666666666667</v>
      </c>
      <c r="AK17" s="2">
        <v>1940</v>
      </c>
      <c r="AL17" s="2">
        <v>7666.666666666667</v>
      </c>
    </row>
    <row r="18" spans="24:38" x14ac:dyDescent="0.25">
      <c r="X18" s="1">
        <v>-0.12031335469400661</v>
      </c>
      <c r="Y18" s="1">
        <v>0.20111696048544109</v>
      </c>
      <c r="Z18" s="2">
        <f t="shared" si="0"/>
        <v>4.0401802895717237E-2</v>
      </c>
      <c r="AA18" s="1">
        <v>-0.35183692588522686</v>
      </c>
      <c r="AB18" s="1">
        <v>-0.39857677250859264</v>
      </c>
      <c r="AC18" s="2">
        <v>10.3</v>
      </c>
      <c r="AD18" s="1">
        <v>1.311151846304792</v>
      </c>
      <c r="AE18" s="2">
        <v>1.9</v>
      </c>
      <c r="AF18" s="2">
        <v>52.4</v>
      </c>
      <c r="AG18" s="2">
        <v>17.399999999999999</v>
      </c>
      <c r="AH18" s="2">
        <v>13666.666666666666</v>
      </c>
      <c r="AI18" s="2">
        <v>13500</v>
      </c>
      <c r="AJ18" s="2">
        <v>7333.333333333333</v>
      </c>
      <c r="AK18" s="2">
        <v>1873.3333333333333</v>
      </c>
      <c r="AL18" s="2">
        <v>7333.333333333333</v>
      </c>
    </row>
    <row r="19" spans="24:38" x14ac:dyDescent="0.25">
      <c r="X19" s="1">
        <v>0.63206715258707802</v>
      </c>
      <c r="Y19" s="1">
        <v>1.4497683033581348</v>
      </c>
      <c r="Z19" s="2">
        <f t="shared" si="0"/>
        <v>1.0409177279726065</v>
      </c>
      <c r="AA19" s="1">
        <v>-0.51520034614171928</v>
      </c>
      <c r="AB19" s="1">
        <v>-0.51912857868114692</v>
      </c>
      <c r="AC19" s="2">
        <v>4.4000000000000004</v>
      </c>
      <c r="AD19" s="1">
        <v>1.311151846304792</v>
      </c>
      <c r="AE19" s="2">
        <v>2</v>
      </c>
      <c r="AF19" s="2">
        <v>52.4</v>
      </c>
      <c r="AG19" s="2">
        <v>17.399999999999999</v>
      </c>
      <c r="AH19" s="2">
        <v>13666.666666666666</v>
      </c>
      <c r="AI19" s="2">
        <v>13500</v>
      </c>
      <c r="AJ19" s="2">
        <v>7333.333333333333</v>
      </c>
      <c r="AK19" s="2">
        <v>1873.3333333333333</v>
      </c>
      <c r="AL19" s="2">
        <v>7333.333333333333</v>
      </c>
    </row>
    <row r="20" spans="24:38" x14ac:dyDescent="0.25">
      <c r="X20" s="1">
        <v>-0.49793639224517977</v>
      </c>
      <c r="Y20" s="1">
        <v>-0.63465770266202648</v>
      </c>
      <c r="Z20" s="2">
        <f t="shared" si="0"/>
        <v>-0.5662970474536031</v>
      </c>
      <c r="AA20" s="1">
        <v>-0.48813812298811859</v>
      </c>
      <c r="AB20" s="1">
        <v>-0.49915838048690514</v>
      </c>
      <c r="AC20" s="2">
        <v>12.5</v>
      </c>
      <c r="AD20" s="1">
        <v>1.311151846304792</v>
      </c>
      <c r="AE20" s="2">
        <v>2.1</v>
      </c>
      <c r="AF20" s="2">
        <v>52.4</v>
      </c>
      <c r="AG20" s="2">
        <v>17.399999999999999</v>
      </c>
      <c r="AH20" s="2">
        <v>13666.666666666666</v>
      </c>
      <c r="AI20" s="2">
        <v>13500</v>
      </c>
      <c r="AJ20" s="2">
        <v>7333.333333333333</v>
      </c>
      <c r="AK20" s="2">
        <v>1873.3333333333333</v>
      </c>
      <c r="AL20" s="2">
        <v>7333.333333333333</v>
      </c>
    </row>
    <row r="21" spans="24:38" x14ac:dyDescent="0.25">
      <c r="X21" s="1">
        <v>-0.26864871355837838</v>
      </c>
      <c r="Y21" s="1">
        <v>-0.12809396632368861</v>
      </c>
      <c r="Z21" s="2">
        <f t="shared" si="0"/>
        <v>-0.19837133994103351</v>
      </c>
      <c r="AA21" s="1">
        <v>-1.2798731637867655</v>
      </c>
      <c r="AB21" s="1">
        <v>-1.0541501752988582</v>
      </c>
      <c r="AC21" s="1">
        <v>10.532999999999999</v>
      </c>
      <c r="AD21" s="1">
        <v>1.1372235401623194</v>
      </c>
      <c r="AE21" s="2">
        <v>2.2000000000000002</v>
      </c>
      <c r="AF21" s="2">
        <v>57.2</v>
      </c>
      <c r="AG21" s="2">
        <v>19</v>
      </c>
      <c r="AH21" s="2">
        <v>16666.666666666668</v>
      </c>
      <c r="AI21" s="2">
        <v>15166.666666666666</v>
      </c>
      <c r="AJ21" s="2">
        <v>7666.666666666667</v>
      </c>
      <c r="AK21" s="2">
        <v>1714.9999999999998</v>
      </c>
      <c r="AL21" s="2">
        <v>7666.666666666667</v>
      </c>
    </row>
    <row r="22" spans="24:38" x14ac:dyDescent="0.25">
      <c r="X22" s="1">
        <v>-5.3357662932765358E-2</v>
      </c>
      <c r="Y22" s="1">
        <v>0.39729288645904931</v>
      </c>
      <c r="Z22" s="2">
        <f t="shared" si="0"/>
        <v>0.17196761176314199</v>
      </c>
      <c r="AA22" s="1">
        <v>7.7528346344467355E-2</v>
      </c>
      <c r="AB22" s="1">
        <v>-0.12155535626240435</v>
      </c>
      <c r="AC22" s="1">
        <v>10.532999999999999</v>
      </c>
      <c r="AD22" s="1">
        <v>1.1372235401623194</v>
      </c>
      <c r="AE22" s="2">
        <v>1.9</v>
      </c>
      <c r="AF22" s="2">
        <v>57.2</v>
      </c>
      <c r="AG22" s="2">
        <v>19</v>
      </c>
      <c r="AH22" s="2">
        <v>16666.666666666668</v>
      </c>
      <c r="AI22" s="2">
        <v>15166.666666666666</v>
      </c>
      <c r="AJ22" s="2">
        <v>7666.666666666667</v>
      </c>
      <c r="AK22" s="2">
        <v>1714.9999999999998</v>
      </c>
      <c r="AL22" s="2">
        <v>7666.666666666667</v>
      </c>
    </row>
    <row r="23" spans="24:38" x14ac:dyDescent="0.25">
      <c r="X23" s="1">
        <v>-0.51139292886406129</v>
      </c>
      <c r="Y23" s="1">
        <v>-0.74357032578853344</v>
      </c>
      <c r="Z23" s="2">
        <f t="shared" si="0"/>
        <v>-0.62748162732629731</v>
      </c>
      <c r="AA23" s="1">
        <v>0.31778808361058453</v>
      </c>
      <c r="AB23" s="1">
        <v>4.3513699963838769E-2</v>
      </c>
      <c r="AC23" s="1">
        <v>10.532999999999999</v>
      </c>
      <c r="AD23" s="1">
        <v>1.1372235401623194</v>
      </c>
      <c r="AE23" s="2">
        <v>1.95</v>
      </c>
      <c r="AF23" s="2">
        <v>57.2</v>
      </c>
      <c r="AG23" s="2">
        <v>19</v>
      </c>
      <c r="AH23" s="2">
        <v>16666.666666666668</v>
      </c>
      <c r="AI23" s="2">
        <v>15166.666666666666</v>
      </c>
      <c r="AJ23" s="2">
        <v>7666.666666666667</v>
      </c>
      <c r="AK23" s="2">
        <v>1714.9999999999998</v>
      </c>
      <c r="AL23" s="2">
        <v>7666.666666666667</v>
      </c>
    </row>
    <row r="24" spans="24:38" x14ac:dyDescent="0.25">
      <c r="X24" s="1">
        <v>0.80221750916231382</v>
      </c>
      <c r="Y24" s="1">
        <v>1.4164140384051045</v>
      </c>
      <c r="Z24" s="2">
        <f t="shared" si="0"/>
        <v>1.1093157737837092</v>
      </c>
      <c r="AA24" s="1">
        <v>-0.33449698181365939</v>
      </c>
      <c r="AB24" s="1">
        <v>-0.25757402838660903</v>
      </c>
      <c r="AC24" s="2">
        <v>8</v>
      </c>
      <c r="AD24" s="1">
        <v>-1.1238444396898202</v>
      </c>
      <c r="AE24" s="2">
        <v>2</v>
      </c>
      <c r="AF24" s="2">
        <v>54.4</v>
      </c>
      <c r="AG24" s="2">
        <v>18.399999999999999</v>
      </c>
      <c r="AH24" s="2">
        <v>16333.333333333334</v>
      </c>
      <c r="AI24" s="2">
        <v>15000</v>
      </c>
      <c r="AJ24" s="2">
        <v>6666.666666666667</v>
      </c>
      <c r="AK24" s="2">
        <v>1725</v>
      </c>
      <c r="AL24" s="2">
        <v>6666.666666666667</v>
      </c>
    </row>
    <row r="25" spans="24:38" x14ac:dyDescent="0.25">
      <c r="X25" s="1">
        <v>3.8177053055161198E-2</v>
      </c>
      <c r="Y25" s="1">
        <v>0.47124453174715175</v>
      </c>
      <c r="Z25" s="2">
        <f t="shared" si="0"/>
        <v>0.25471079240115646</v>
      </c>
      <c r="AA25" s="1">
        <v>-0.28798507632408143</v>
      </c>
      <c r="AB25" s="1">
        <v>-0.20715498083446376</v>
      </c>
      <c r="AC25" s="2">
        <v>6.2</v>
      </c>
      <c r="AD25" s="1">
        <v>-1.1238444396898202</v>
      </c>
      <c r="AE25" s="2">
        <v>1.9</v>
      </c>
      <c r="AF25" s="2">
        <v>54.4</v>
      </c>
      <c r="AG25" s="2">
        <v>18.399999999999999</v>
      </c>
      <c r="AH25" s="2">
        <v>16333.333333333334</v>
      </c>
      <c r="AI25" s="2">
        <v>15000</v>
      </c>
      <c r="AJ25" s="2">
        <v>6666.666666666667</v>
      </c>
      <c r="AK25" s="2">
        <v>1725</v>
      </c>
      <c r="AL25" s="2">
        <v>6666.666666666667</v>
      </c>
    </row>
    <row r="26" spans="24:38" x14ac:dyDescent="0.25">
      <c r="X26" s="1">
        <v>5.0595250689420571E-2</v>
      </c>
      <c r="Y26" s="1">
        <v>0.45193712973511652</v>
      </c>
      <c r="Z26" s="2">
        <f t="shared" si="0"/>
        <v>0.25126619021226854</v>
      </c>
      <c r="AA26" s="1">
        <v>-0.22000613753161966</v>
      </c>
      <c r="AB26" s="1">
        <v>-0.133465603642867</v>
      </c>
      <c r="AC26" s="2">
        <v>6.4</v>
      </c>
      <c r="AD26" s="1">
        <v>-1.1238444396898202</v>
      </c>
      <c r="AE26" s="2">
        <v>1.85</v>
      </c>
      <c r="AF26" s="2">
        <v>54.4</v>
      </c>
      <c r="AG26" s="2">
        <v>18.399999999999999</v>
      </c>
      <c r="AH26" s="2">
        <v>16333.333333333334</v>
      </c>
      <c r="AI26" s="2">
        <v>15000</v>
      </c>
      <c r="AJ26" s="2">
        <v>6666.666666666667</v>
      </c>
      <c r="AK26" s="2">
        <v>1725</v>
      </c>
      <c r="AL26" s="2">
        <v>6666.666666666667</v>
      </c>
    </row>
    <row r="27" spans="24:38" x14ac:dyDescent="0.25">
      <c r="X27" s="1">
        <v>-0.50496607042847053</v>
      </c>
      <c r="Y27" s="1">
        <v>-0.68631827184921912</v>
      </c>
      <c r="Z27" s="2">
        <f t="shared" si="0"/>
        <v>-0.59564217113884488</v>
      </c>
      <c r="AA27" s="1">
        <v>3.6421083085051631</v>
      </c>
      <c r="AB27" s="1">
        <v>2.7035630034183882</v>
      </c>
      <c r="AC27" s="2">
        <v>15.9</v>
      </c>
      <c r="AD27" s="1">
        <v>0.61543862173490227</v>
      </c>
      <c r="AE27" s="2">
        <v>1.78</v>
      </c>
      <c r="AF27" s="2">
        <v>52.4</v>
      </c>
      <c r="AG27" s="2">
        <v>18.8</v>
      </c>
      <c r="AH27" s="2">
        <v>14166.666666666666</v>
      </c>
      <c r="AI27" s="2">
        <v>12666.666666666666</v>
      </c>
      <c r="AJ27" s="2">
        <v>6833.333333333333</v>
      </c>
      <c r="AK27" s="2">
        <v>1635</v>
      </c>
      <c r="AL27" s="2">
        <v>6833.333333333333</v>
      </c>
    </row>
    <row r="28" spans="24:38" x14ac:dyDescent="0.25">
      <c r="X28" s="1">
        <v>0.5074994219157114</v>
      </c>
      <c r="Y28" s="1">
        <v>1.0266317912234755</v>
      </c>
      <c r="Z28" s="2">
        <f t="shared" si="0"/>
        <v>0.76706560656959344</v>
      </c>
      <c r="AA28" s="1">
        <v>4.2288738854506116</v>
      </c>
      <c r="AB28" s="1">
        <v>3.1574618901572369</v>
      </c>
      <c r="AC28" s="2">
        <v>5.2</v>
      </c>
      <c r="AD28" s="1">
        <v>0.61543862173490227</v>
      </c>
      <c r="AE28" s="2">
        <v>1.74</v>
      </c>
      <c r="AF28" s="2">
        <v>52.4</v>
      </c>
      <c r="AG28" s="2">
        <v>18.8</v>
      </c>
      <c r="AH28" s="2">
        <v>14166.666666666666</v>
      </c>
      <c r="AI28" s="2">
        <v>12666.666666666666</v>
      </c>
      <c r="AJ28" s="2">
        <v>6833.333333333333</v>
      </c>
      <c r="AK28" s="2">
        <v>1635</v>
      </c>
      <c r="AL28" s="2">
        <v>6833.333333333333</v>
      </c>
    </row>
    <row r="29" spans="24:38" x14ac:dyDescent="0.25">
      <c r="X29" s="1">
        <v>0.548876559260698</v>
      </c>
      <c r="Y29" s="1">
        <v>1.1678459519337077</v>
      </c>
      <c r="Z29" s="2">
        <f t="shared" si="0"/>
        <v>0.85836125559720289</v>
      </c>
      <c r="AA29" s="1">
        <v>4.2386316278610252</v>
      </c>
      <c r="AB29" s="1">
        <v>3.1650100978081048</v>
      </c>
      <c r="AC29" s="2">
        <v>9.1</v>
      </c>
      <c r="AD29" s="1">
        <v>0.61543862173490227</v>
      </c>
      <c r="AE29" s="2">
        <v>1.9</v>
      </c>
      <c r="AF29" s="2">
        <v>52.4</v>
      </c>
      <c r="AG29" s="2">
        <v>18.8</v>
      </c>
      <c r="AH29" s="2">
        <v>14166.666666666666</v>
      </c>
      <c r="AI29" s="2">
        <v>12666.666666666666</v>
      </c>
      <c r="AJ29" s="2">
        <v>6833.333333333333</v>
      </c>
      <c r="AK29" s="2">
        <v>1635</v>
      </c>
      <c r="AL29" s="2">
        <v>6833.333333333333</v>
      </c>
    </row>
    <row r="30" spans="24:38" x14ac:dyDescent="0.25">
      <c r="X30" s="1">
        <v>-8.3443728284251145E-2</v>
      </c>
      <c r="Y30" s="1">
        <v>0.34743212482918784</v>
      </c>
      <c r="Z30" s="2">
        <f t="shared" si="0"/>
        <v>0.13199419827246833</v>
      </c>
      <c r="AA30" s="1">
        <v>-0.26041941596391438</v>
      </c>
      <c r="AB30" s="1">
        <v>-0.16143696737445212</v>
      </c>
      <c r="AC30" s="1">
        <v>10.532999999999999</v>
      </c>
      <c r="AD30" s="1">
        <v>0.61543862173490227</v>
      </c>
      <c r="AE30" s="2">
        <v>2.2000000000000002</v>
      </c>
      <c r="AF30" s="2">
        <v>54.4</v>
      </c>
      <c r="AG30" s="2">
        <v>17.600000000000001</v>
      </c>
      <c r="AH30" s="2">
        <v>11333.333333333334</v>
      </c>
      <c r="AI30" s="2">
        <v>10333.333333333334</v>
      </c>
      <c r="AJ30" s="2">
        <v>5166.666666666667</v>
      </c>
      <c r="AK30" s="2">
        <v>1405</v>
      </c>
      <c r="AL30" s="2">
        <v>5166.666666666667</v>
      </c>
    </row>
    <row r="31" spans="24:38" x14ac:dyDescent="0.25">
      <c r="X31" s="1">
        <v>3.8779449900559967E-2</v>
      </c>
      <c r="Y31" s="1">
        <v>0.57513772599460733</v>
      </c>
      <c r="Z31" s="2">
        <f t="shared" si="0"/>
        <v>0.30695858794758363</v>
      </c>
      <c r="AA31" s="1">
        <v>-0.2739505275407158</v>
      </c>
      <c r="AB31" s="1">
        <v>-0.17658677290111885</v>
      </c>
      <c r="AC31" s="1">
        <v>10.532999999999999</v>
      </c>
      <c r="AD31" s="1">
        <v>0.61543862173490227</v>
      </c>
      <c r="AE31" s="2">
        <v>1.97</v>
      </c>
      <c r="AF31" s="2">
        <v>54.4</v>
      </c>
      <c r="AG31" s="2">
        <v>17.600000000000001</v>
      </c>
      <c r="AH31" s="2">
        <v>11333.333333333334</v>
      </c>
      <c r="AI31" s="2">
        <v>10333.333333333334</v>
      </c>
      <c r="AJ31" s="2">
        <v>5166.666666666667</v>
      </c>
      <c r="AK31" s="2">
        <v>1405</v>
      </c>
      <c r="AL31" s="2">
        <v>5166.666666666667</v>
      </c>
    </row>
    <row r="32" spans="24:38" x14ac:dyDescent="0.25">
      <c r="X32" s="1">
        <v>0.29572605160640136</v>
      </c>
      <c r="Y32" s="1">
        <v>0.96755979418617166</v>
      </c>
      <c r="Z32" s="2">
        <f t="shared" si="0"/>
        <v>0.63164292289628654</v>
      </c>
      <c r="AA32" s="1">
        <v>-0.26701995819650037</v>
      </c>
      <c r="AB32" s="1">
        <v>-0.16882711641185069</v>
      </c>
      <c r="AC32" s="1">
        <v>10.532999999999999</v>
      </c>
      <c r="AD32" s="1">
        <v>0.61543862173490227</v>
      </c>
      <c r="AE32" s="2">
        <v>2</v>
      </c>
      <c r="AF32" s="2">
        <v>54.4</v>
      </c>
      <c r="AG32" s="2">
        <v>17.600000000000001</v>
      </c>
      <c r="AH32" s="2">
        <v>11333.333333333334</v>
      </c>
      <c r="AI32" s="2">
        <v>10333.333333333334</v>
      </c>
      <c r="AJ32" s="2">
        <v>5166.666666666667</v>
      </c>
      <c r="AK32" s="2">
        <v>1405</v>
      </c>
      <c r="AL32" s="2">
        <v>5166.666666666667</v>
      </c>
    </row>
    <row r="33" spans="24:38" x14ac:dyDescent="0.25">
      <c r="X33" s="1">
        <v>2.4847660050762346</v>
      </c>
      <c r="Y33" s="1">
        <v>2.5121669277305148</v>
      </c>
      <c r="Z33" s="2">
        <f t="shared" si="0"/>
        <v>2.4984664664033747</v>
      </c>
      <c r="AA33" s="1">
        <v>-0.32181191668013909</v>
      </c>
      <c r="AB33" s="1">
        <v>-0.35497073671323326</v>
      </c>
      <c r="AC33" s="2">
        <v>3.1</v>
      </c>
      <c r="AD33" s="1">
        <v>-0.77598782740487526</v>
      </c>
      <c r="AE33" s="2">
        <v>1.8</v>
      </c>
      <c r="AF33" s="2">
        <v>55.8</v>
      </c>
      <c r="AG33" s="2">
        <v>19.8</v>
      </c>
      <c r="AH33" s="2">
        <v>17000</v>
      </c>
      <c r="AI33" s="2">
        <v>18666.666666666668</v>
      </c>
      <c r="AJ33" s="2">
        <v>9166.6666666666661</v>
      </c>
      <c r="AK33" s="2">
        <v>1950</v>
      </c>
      <c r="AL33" s="2">
        <v>9166.6666666666661</v>
      </c>
    </row>
    <row r="34" spans="24:38" x14ac:dyDescent="0.25">
      <c r="X34" s="1">
        <v>2.4847660050762346</v>
      </c>
      <c r="Y34" s="1">
        <v>2.5121669277305148</v>
      </c>
      <c r="Z34" s="2">
        <f t="shared" si="0"/>
        <v>2.4984664664033747</v>
      </c>
      <c r="AA34" s="1">
        <v>-0.28050414047610567</v>
      </c>
      <c r="AB34" s="1">
        <v>-0.32217576084064697</v>
      </c>
      <c r="AC34" s="2">
        <v>4</v>
      </c>
      <c r="AD34" s="1">
        <v>-0.77598782740487526</v>
      </c>
      <c r="AE34" s="2">
        <v>1.65</v>
      </c>
      <c r="AF34" s="2">
        <v>55.8</v>
      </c>
      <c r="AG34" s="2">
        <v>19.8</v>
      </c>
      <c r="AH34" s="2">
        <v>17000</v>
      </c>
      <c r="AI34" s="2">
        <v>18666.666666666668</v>
      </c>
      <c r="AJ34" s="2">
        <v>9166.6666666666661</v>
      </c>
      <c r="AK34" s="2">
        <v>1950</v>
      </c>
      <c r="AL34" s="2">
        <v>9166.6666666666661</v>
      </c>
    </row>
    <row r="35" spans="24:38" x14ac:dyDescent="0.25">
      <c r="X35" s="1">
        <v>-3.8612693480896923E-2</v>
      </c>
      <c r="Y35" s="1">
        <v>0.34894332297041208</v>
      </c>
      <c r="Z35" s="2">
        <f t="shared" si="0"/>
        <v>0.15516531474475759</v>
      </c>
      <c r="AA35" s="1">
        <v>-0.32311294900152471</v>
      </c>
      <c r="AB35" s="1">
        <v>-0.35600364933914203</v>
      </c>
      <c r="AC35" s="2">
        <v>8.9</v>
      </c>
      <c r="AD35" s="1">
        <v>-0.77598782740487526</v>
      </c>
      <c r="AE35" s="2">
        <v>1.7</v>
      </c>
      <c r="AF35" s="2">
        <v>55.8</v>
      </c>
      <c r="AG35" s="2">
        <v>19.8</v>
      </c>
      <c r="AH35" s="2">
        <v>17000</v>
      </c>
      <c r="AI35" s="2">
        <v>18666.666666666668</v>
      </c>
      <c r="AJ35" s="2">
        <v>9166.6666666666661</v>
      </c>
      <c r="AK35" s="2">
        <v>1950</v>
      </c>
      <c r="AL35" s="2">
        <v>9166.6666666666661</v>
      </c>
    </row>
    <row r="36" spans="24:38" x14ac:dyDescent="0.25">
      <c r="X36" s="1">
        <v>-0.60334876318427022</v>
      </c>
      <c r="Y36" s="1">
        <v>-0.89376597022433413</v>
      </c>
      <c r="Z36" s="2">
        <f t="shared" si="0"/>
        <v>-0.74855736670430217</v>
      </c>
      <c r="AA36" s="1">
        <v>-0.28583150355937176</v>
      </c>
      <c r="AB36" s="1">
        <v>-0.32853831458598104</v>
      </c>
      <c r="AC36" s="2">
        <v>12.2</v>
      </c>
      <c r="AD36" s="1">
        <v>0.2675820094499583</v>
      </c>
      <c r="AE36" s="2">
        <v>1.95</v>
      </c>
      <c r="AF36" s="2">
        <v>57.6</v>
      </c>
      <c r="AG36" s="2">
        <v>19.2</v>
      </c>
      <c r="AH36" s="2">
        <v>12000</v>
      </c>
      <c r="AI36" s="2">
        <v>12166.666666666666</v>
      </c>
      <c r="AJ36" s="2">
        <v>9000</v>
      </c>
      <c r="AK36" s="2">
        <v>2640</v>
      </c>
      <c r="AL36" s="2">
        <v>9000</v>
      </c>
    </row>
    <row r="37" spans="24:38" x14ac:dyDescent="0.25">
      <c r="X37" s="1">
        <v>-0.63487457449053797</v>
      </c>
      <c r="Y37" s="1">
        <v>-0.92707738261647565</v>
      </c>
      <c r="Z37" s="2">
        <f t="shared" si="0"/>
        <v>-0.78097597855350687</v>
      </c>
      <c r="AA37" s="1">
        <v>-0.31520391649437685</v>
      </c>
      <c r="AB37" s="1">
        <v>-0.35170811139754993</v>
      </c>
      <c r="AC37" s="2">
        <v>7.4</v>
      </c>
      <c r="AD37" s="1">
        <v>0.2675820094499583</v>
      </c>
      <c r="AE37" s="2">
        <v>2.25</v>
      </c>
      <c r="AF37" s="2">
        <v>57.6</v>
      </c>
      <c r="AG37" s="2">
        <v>19.2</v>
      </c>
      <c r="AH37" s="2">
        <v>12000</v>
      </c>
      <c r="AI37" s="2">
        <v>12166.666666666666</v>
      </c>
      <c r="AJ37" s="2">
        <v>9000</v>
      </c>
      <c r="AK37" s="2">
        <v>2640</v>
      </c>
      <c r="AL37" s="2">
        <v>9000</v>
      </c>
    </row>
    <row r="38" spans="24:38" x14ac:dyDescent="0.25">
      <c r="X38" s="1">
        <v>-0.63755890930273051</v>
      </c>
      <c r="Y38" s="1">
        <v>-0.93297864491719129</v>
      </c>
      <c r="Z38" s="2">
        <f t="shared" si="0"/>
        <v>-0.7852687771099609</v>
      </c>
      <c r="AA38" s="1">
        <v>-0.1960641291962068</v>
      </c>
      <c r="AB38" s="1">
        <v>-0.25772725017309533</v>
      </c>
      <c r="AC38" s="2">
        <v>9.8000000000000007</v>
      </c>
      <c r="AD38" s="1">
        <v>0.2675820094499583</v>
      </c>
      <c r="AE38" s="2">
        <v>2</v>
      </c>
      <c r="AF38" s="2">
        <v>57.6</v>
      </c>
      <c r="AG38" s="2">
        <v>19.2</v>
      </c>
      <c r="AH38" s="2">
        <v>12000</v>
      </c>
      <c r="AI38" s="2">
        <v>12166.666666666666</v>
      </c>
      <c r="AJ38" s="2">
        <v>9000</v>
      </c>
      <c r="AK38" s="2">
        <v>2640</v>
      </c>
      <c r="AL38" s="2">
        <v>9000</v>
      </c>
    </row>
    <row r="39" spans="24:38" x14ac:dyDescent="0.25">
      <c r="X39" s="1">
        <v>-0.41425620780813993</v>
      </c>
      <c r="Y39" s="1">
        <v>0.98775419257901431</v>
      </c>
      <c r="Z39" s="2">
        <f t="shared" si="0"/>
        <v>0.28674899238543716</v>
      </c>
      <c r="AA39" s="1">
        <v>-0.15950813458713151</v>
      </c>
      <c r="AB39" s="1">
        <v>-0.20113131249202729</v>
      </c>
      <c r="AC39" s="1">
        <v>10.532999999999999</v>
      </c>
      <c r="AD39" s="1">
        <v>-0.34116706204869518</v>
      </c>
      <c r="AE39" s="2">
        <v>1.95</v>
      </c>
      <c r="AF39" s="2">
        <v>55.6</v>
      </c>
      <c r="AG39" s="2">
        <v>20.399999999999999</v>
      </c>
      <c r="AH39" s="2">
        <v>15833.333333333334</v>
      </c>
      <c r="AI39" s="2">
        <v>12833.333333333334</v>
      </c>
      <c r="AJ39" s="2">
        <v>4166.666666666667</v>
      </c>
      <c r="AK39" s="2">
        <v>1128.3333333333333</v>
      </c>
      <c r="AL39" s="2">
        <v>4166.666666666667</v>
      </c>
    </row>
    <row r="40" spans="24:38" x14ac:dyDescent="0.25">
      <c r="X40" s="1">
        <v>-0.22934266379266396</v>
      </c>
      <c r="Y40" s="1">
        <v>9.9388595006743435E-2</v>
      </c>
      <c r="Z40" s="2">
        <f t="shared" si="0"/>
        <v>-6.4977034392960265E-2</v>
      </c>
      <c r="AA40" s="1">
        <v>-0.22716181529924689</v>
      </c>
      <c r="AB40" s="1">
        <v>-0.25794150691697981</v>
      </c>
      <c r="AC40" s="1">
        <v>10.532999999999999</v>
      </c>
      <c r="AD40" s="1">
        <v>-0.34116706204869518</v>
      </c>
      <c r="AE40" s="2">
        <v>1.85</v>
      </c>
      <c r="AF40" s="2">
        <v>55.6</v>
      </c>
      <c r="AG40" s="2">
        <v>20.399999999999999</v>
      </c>
      <c r="AH40" s="2">
        <v>15833.333333333334</v>
      </c>
      <c r="AI40" s="2">
        <v>12833.333333333334</v>
      </c>
      <c r="AJ40" s="2">
        <v>4166.666666666667</v>
      </c>
      <c r="AK40" s="2">
        <v>1128.3333333333333</v>
      </c>
      <c r="AL40" s="2">
        <v>4166.666666666667</v>
      </c>
    </row>
    <row r="41" spans="24:38" x14ac:dyDescent="0.25">
      <c r="X41" s="1">
        <v>4.396556610752576</v>
      </c>
      <c r="Y41" s="1">
        <v>3.1530982246592427</v>
      </c>
      <c r="Z41" s="2">
        <f t="shared" si="0"/>
        <v>3.7748274177059091</v>
      </c>
      <c r="AA41" s="1">
        <v>-0.22488500873681999</v>
      </c>
      <c r="AB41" s="1">
        <v>-0.25602962537383261</v>
      </c>
      <c r="AC41" s="1">
        <v>10.532999999999999</v>
      </c>
      <c r="AD41" s="1">
        <v>-0.34116706204869518</v>
      </c>
      <c r="AE41" s="2">
        <v>1.77</v>
      </c>
      <c r="AF41" s="2">
        <v>55.6</v>
      </c>
      <c r="AG41" s="2">
        <v>20.399999999999999</v>
      </c>
      <c r="AH41" s="2">
        <v>15833.333333333334</v>
      </c>
      <c r="AI41" s="2">
        <v>12833.333333333334</v>
      </c>
      <c r="AJ41" s="2">
        <v>4166.666666666667</v>
      </c>
      <c r="AK41" s="2">
        <v>1128.3333333333333</v>
      </c>
      <c r="AL41" s="2">
        <v>4166.666666666667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5F987-816A-4D34-98FA-0CAC34461A91}">
  <sheetPr filterMode="1"/>
  <dimension ref="A1:D289"/>
  <sheetViews>
    <sheetView workbookViewId="0">
      <selection activeCell="D20" sqref="D20"/>
    </sheetView>
  </sheetViews>
  <sheetFormatPr defaultRowHeight="15" x14ac:dyDescent="0.25"/>
  <cols>
    <col min="1" max="2" width="19.140625" customWidth="1"/>
    <col min="3" max="3" width="34.7109375" customWidth="1"/>
  </cols>
  <sheetData>
    <row r="1" spans="1:4" x14ac:dyDescent="0.25">
      <c r="A1" t="s">
        <v>79</v>
      </c>
      <c r="B1" t="s">
        <v>80</v>
      </c>
      <c r="C1" t="s">
        <v>81</v>
      </c>
      <c r="D1" t="s">
        <v>82</v>
      </c>
    </row>
    <row r="2" spans="1:4" hidden="1" x14ac:dyDescent="0.25">
      <c r="A2" t="s">
        <v>83</v>
      </c>
      <c r="B2" t="s">
        <v>12</v>
      </c>
      <c r="C2" t="s">
        <v>9</v>
      </c>
      <c r="D2" s="2">
        <v>12.6</v>
      </c>
    </row>
    <row r="3" spans="1:4" hidden="1" x14ac:dyDescent="0.25">
      <c r="A3" t="s">
        <v>83</v>
      </c>
      <c r="B3" t="s">
        <v>12</v>
      </c>
      <c r="C3" t="s">
        <v>9</v>
      </c>
      <c r="D3" s="2">
        <v>7.8</v>
      </c>
    </row>
    <row r="4" spans="1:4" hidden="1" x14ac:dyDescent="0.25">
      <c r="A4" t="s">
        <v>83</v>
      </c>
      <c r="B4" t="s">
        <v>12</v>
      </c>
      <c r="C4" t="s">
        <v>9</v>
      </c>
      <c r="D4" s="2">
        <v>6.3</v>
      </c>
    </row>
    <row r="5" spans="1:4" hidden="1" x14ac:dyDescent="0.25">
      <c r="A5" t="s">
        <v>83</v>
      </c>
      <c r="B5" t="s">
        <v>12</v>
      </c>
      <c r="C5" t="s">
        <v>10</v>
      </c>
      <c r="D5" s="2">
        <v>10.3</v>
      </c>
    </row>
    <row r="6" spans="1:4" hidden="1" x14ac:dyDescent="0.25">
      <c r="A6" t="s">
        <v>83</v>
      </c>
      <c r="B6" t="s">
        <v>12</v>
      </c>
      <c r="C6" t="s">
        <v>10</v>
      </c>
      <c r="D6" s="2">
        <v>4.4000000000000004</v>
      </c>
    </row>
    <row r="7" spans="1:4" hidden="1" x14ac:dyDescent="0.25">
      <c r="A7" t="s">
        <v>83</v>
      </c>
      <c r="B7" t="s">
        <v>12</v>
      </c>
      <c r="C7" t="s">
        <v>10</v>
      </c>
      <c r="D7" s="2">
        <v>12.5</v>
      </c>
    </row>
    <row r="8" spans="1:4" hidden="1" x14ac:dyDescent="0.25">
      <c r="A8" t="s">
        <v>84</v>
      </c>
      <c r="B8" t="s">
        <v>12</v>
      </c>
      <c r="C8" t="s">
        <v>91</v>
      </c>
      <c r="D8" s="2">
        <v>8</v>
      </c>
    </row>
    <row r="9" spans="1:4" hidden="1" x14ac:dyDescent="0.25">
      <c r="A9" t="s">
        <v>84</v>
      </c>
      <c r="B9" t="s">
        <v>12</v>
      </c>
      <c r="C9" t="s">
        <v>91</v>
      </c>
      <c r="D9" s="2">
        <v>6.2</v>
      </c>
    </row>
    <row r="10" spans="1:4" hidden="1" x14ac:dyDescent="0.25">
      <c r="A10" t="s">
        <v>84</v>
      </c>
      <c r="B10" t="s">
        <v>12</v>
      </c>
      <c r="C10" t="s">
        <v>91</v>
      </c>
      <c r="D10" s="2">
        <v>6.4</v>
      </c>
    </row>
    <row r="11" spans="1:4" hidden="1" x14ac:dyDescent="0.25">
      <c r="A11" t="s">
        <v>84</v>
      </c>
      <c r="B11" t="s">
        <v>12</v>
      </c>
      <c r="C11" t="s">
        <v>11</v>
      </c>
      <c r="D11" s="2">
        <v>3.1</v>
      </c>
    </row>
    <row r="12" spans="1:4" hidden="1" x14ac:dyDescent="0.25">
      <c r="A12" t="s">
        <v>84</v>
      </c>
      <c r="B12" t="s">
        <v>12</v>
      </c>
      <c r="C12" t="s">
        <v>11</v>
      </c>
      <c r="D12" s="2">
        <v>4</v>
      </c>
    </row>
    <row r="13" spans="1:4" hidden="1" x14ac:dyDescent="0.25">
      <c r="A13" t="s">
        <v>84</v>
      </c>
      <c r="B13" t="s">
        <v>12</v>
      </c>
      <c r="C13" t="s">
        <v>11</v>
      </c>
      <c r="D13" s="2">
        <v>8.9</v>
      </c>
    </row>
    <row r="14" spans="1:4" hidden="1" x14ac:dyDescent="0.25">
      <c r="A14" t="s">
        <v>84</v>
      </c>
      <c r="B14" t="s">
        <v>12</v>
      </c>
      <c r="C14" t="s">
        <v>9</v>
      </c>
      <c r="D14" s="2">
        <v>10.4</v>
      </c>
    </row>
    <row r="15" spans="1:4" hidden="1" x14ac:dyDescent="0.25">
      <c r="A15" t="s">
        <v>84</v>
      </c>
      <c r="B15" t="s">
        <v>12</v>
      </c>
      <c r="C15" t="s">
        <v>9</v>
      </c>
      <c r="D15" s="2">
        <v>6.9</v>
      </c>
    </row>
    <row r="16" spans="1:4" hidden="1" x14ac:dyDescent="0.25">
      <c r="A16" t="s">
        <v>84</v>
      </c>
      <c r="B16" t="s">
        <v>12</v>
      </c>
      <c r="C16" t="s">
        <v>9</v>
      </c>
      <c r="D16" s="2">
        <v>5.8</v>
      </c>
    </row>
    <row r="17" spans="1:4" hidden="1" x14ac:dyDescent="0.25">
      <c r="A17" t="s">
        <v>84</v>
      </c>
      <c r="B17" t="s">
        <v>12</v>
      </c>
      <c r="C17" t="s">
        <v>10</v>
      </c>
      <c r="D17" s="2">
        <v>17.7</v>
      </c>
    </row>
    <row r="18" spans="1:4" hidden="1" x14ac:dyDescent="0.25">
      <c r="A18" t="s">
        <v>84</v>
      </c>
      <c r="B18" t="s">
        <v>12</v>
      </c>
      <c r="C18" t="s">
        <v>10</v>
      </c>
      <c r="D18" s="2">
        <v>13.5</v>
      </c>
    </row>
    <row r="19" spans="1:4" hidden="1" x14ac:dyDescent="0.25">
      <c r="A19" t="s">
        <v>84</v>
      </c>
      <c r="B19" t="s">
        <v>12</v>
      </c>
      <c r="C19" t="s">
        <v>10</v>
      </c>
      <c r="D19" s="2">
        <v>12.5</v>
      </c>
    </row>
    <row r="20" spans="1:4" x14ac:dyDescent="0.25">
      <c r="A20" t="s">
        <v>85</v>
      </c>
      <c r="B20" t="s">
        <v>12</v>
      </c>
      <c r="C20" t="s">
        <v>91</v>
      </c>
      <c r="D20" s="2">
        <v>8.5</v>
      </c>
    </row>
    <row r="21" spans="1:4" x14ac:dyDescent="0.25">
      <c r="A21" t="s">
        <v>85</v>
      </c>
      <c r="B21" t="s">
        <v>12</v>
      </c>
      <c r="C21" t="s">
        <v>91</v>
      </c>
      <c r="D21" s="2">
        <v>13.6</v>
      </c>
    </row>
    <row r="22" spans="1:4" x14ac:dyDescent="0.25">
      <c r="A22" t="s">
        <v>85</v>
      </c>
      <c r="B22" t="s">
        <v>12</v>
      </c>
      <c r="C22" t="s">
        <v>91</v>
      </c>
      <c r="D22" s="2">
        <v>3.6</v>
      </c>
    </row>
    <row r="23" spans="1:4" x14ac:dyDescent="0.25">
      <c r="A23" t="s">
        <v>85</v>
      </c>
      <c r="B23" t="s">
        <v>12</v>
      </c>
      <c r="C23" t="s">
        <v>11</v>
      </c>
      <c r="D23" s="2">
        <v>11.1</v>
      </c>
    </row>
    <row r="24" spans="1:4" x14ac:dyDescent="0.25">
      <c r="A24" t="s">
        <v>85</v>
      </c>
      <c r="B24" t="s">
        <v>12</v>
      </c>
      <c r="C24" t="s">
        <v>11</v>
      </c>
      <c r="D24" s="2">
        <v>5.3</v>
      </c>
    </row>
    <row r="25" spans="1:4" x14ac:dyDescent="0.25">
      <c r="A25" t="s">
        <v>85</v>
      </c>
      <c r="B25" t="s">
        <v>12</v>
      </c>
      <c r="C25" t="s">
        <v>11</v>
      </c>
      <c r="D25" s="2">
        <v>6.8</v>
      </c>
    </row>
    <row r="26" spans="1:4" x14ac:dyDescent="0.25">
      <c r="A26" t="s">
        <v>85</v>
      </c>
      <c r="B26" t="s">
        <v>12</v>
      </c>
      <c r="C26" t="s">
        <v>9</v>
      </c>
      <c r="D26" s="2">
        <v>8.1</v>
      </c>
    </row>
    <row r="27" spans="1:4" x14ac:dyDescent="0.25">
      <c r="A27" t="s">
        <v>85</v>
      </c>
      <c r="B27" t="s">
        <v>12</v>
      </c>
      <c r="C27" t="s">
        <v>9</v>
      </c>
      <c r="D27" s="2">
        <v>6</v>
      </c>
    </row>
    <row r="28" spans="1:4" x14ac:dyDescent="0.25">
      <c r="A28" t="s">
        <v>85</v>
      </c>
      <c r="B28" t="s">
        <v>12</v>
      </c>
      <c r="C28" t="s">
        <v>9</v>
      </c>
      <c r="D28" s="2">
        <v>8.9</v>
      </c>
    </row>
    <row r="29" spans="1:4" x14ac:dyDescent="0.25">
      <c r="A29" t="s">
        <v>85</v>
      </c>
      <c r="B29" t="s">
        <v>12</v>
      </c>
      <c r="C29" t="s">
        <v>10</v>
      </c>
      <c r="D29" s="2">
        <v>17.3</v>
      </c>
    </row>
    <row r="30" spans="1:4" x14ac:dyDescent="0.25">
      <c r="A30" t="s">
        <v>85</v>
      </c>
      <c r="B30" t="s">
        <v>12</v>
      </c>
      <c r="C30" t="s">
        <v>10</v>
      </c>
      <c r="D30" s="2">
        <v>10.8</v>
      </c>
    </row>
    <row r="31" spans="1:4" x14ac:dyDescent="0.25">
      <c r="A31" t="s">
        <v>85</v>
      </c>
      <c r="B31" t="s">
        <v>12</v>
      </c>
      <c r="C31" t="s">
        <v>10</v>
      </c>
      <c r="D31" s="2">
        <v>16.399999999999999</v>
      </c>
    </row>
    <row r="32" spans="1:4" x14ac:dyDescent="0.25">
      <c r="A32" t="s">
        <v>86</v>
      </c>
      <c r="B32" t="s">
        <v>12</v>
      </c>
      <c r="C32" t="s">
        <v>91</v>
      </c>
      <c r="D32" s="2">
        <v>15.1</v>
      </c>
    </row>
    <row r="33" spans="1:4" x14ac:dyDescent="0.25">
      <c r="A33" t="s">
        <v>86</v>
      </c>
      <c r="B33" t="s">
        <v>12</v>
      </c>
      <c r="C33" t="s">
        <v>91</v>
      </c>
      <c r="D33" s="2">
        <v>2</v>
      </c>
    </row>
    <row r="34" spans="1:4" x14ac:dyDescent="0.25">
      <c r="A34" t="s">
        <v>86</v>
      </c>
      <c r="B34" t="s">
        <v>12</v>
      </c>
      <c r="C34" t="s">
        <v>91</v>
      </c>
      <c r="D34" s="2">
        <v>13.7</v>
      </c>
    </row>
    <row r="35" spans="1:4" x14ac:dyDescent="0.25">
      <c r="A35" t="s">
        <v>86</v>
      </c>
      <c r="B35" t="s">
        <v>12</v>
      </c>
      <c r="C35" t="s">
        <v>11</v>
      </c>
      <c r="D35" s="2">
        <v>15.4</v>
      </c>
    </row>
    <row r="36" spans="1:4" x14ac:dyDescent="0.25">
      <c r="A36" t="s">
        <v>86</v>
      </c>
      <c r="B36" t="s">
        <v>12</v>
      </c>
      <c r="C36" t="s">
        <v>11</v>
      </c>
      <c r="D36" s="2">
        <v>13.1</v>
      </c>
    </row>
    <row r="37" spans="1:4" x14ac:dyDescent="0.25">
      <c r="A37" t="s">
        <v>86</v>
      </c>
      <c r="B37" t="s">
        <v>12</v>
      </c>
      <c r="C37" t="s">
        <v>11</v>
      </c>
      <c r="D37" s="2">
        <v>21.7</v>
      </c>
    </row>
    <row r="38" spans="1:4" x14ac:dyDescent="0.25">
      <c r="A38" t="s">
        <v>86</v>
      </c>
      <c r="B38" t="s">
        <v>12</v>
      </c>
      <c r="C38" t="s">
        <v>9</v>
      </c>
      <c r="D38" s="2">
        <v>15.7</v>
      </c>
    </row>
    <row r="39" spans="1:4" x14ac:dyDescent="0.25">
      <c r="A39" t="s">
        <v>86</v>
      </c>
      <c r="B39" t="s">
        <v>12</v>
      </c>
      <c r="C39" t="s">
        <v>9</v>
      </c>
      <c r="D39" s="2">
        <v>6.9</v>
      </c>
    </row>
    <row r="40" spans="1:4" x14ac:dyDescent="0.25">
      <c r="A40" t="s">
        <v>86</v>
      </c>
      <c r="B40" t="s">
        <v>12</v>
      </c>
      <c r="C40" t="s">
        <v>9</v>
      </c>
      <c r="D40" s="2">
        <v>10.5</v>
      </c>
    </row>
    <row r="41" spans="1:4" x14ac:dyDescent="0.25">
      <c r="A41" t="s">
        <v>86</v>
      </c>
      <c r="B41" t="s">
        <v>12</v>
      </c>
      <c r="C41" t="s">
        <v>10</v>
      </c>
      <c r="D41" s="2">
        <v>13.9</v>
      </c>
    </row>
    <row r="42" spans="1:4" x14ac:dyDescent="0.25">
      <c r="A42" t="s">
        <v>86</v>
      </c>
      <c r="B42" t="s">
        <v>12</v>
      </c>
      <c r="C42" t="s">
        <v>10</v>
      </c>
      <c r="D42" s="2">
        <v>12.1</v>
      </c>
    </row>
    <row r="43" spans="1:4" x14ac:dyDescent="0.25">
      <c r="A43" t="s">
        <v>86</v>
      </c>
      <c r="B43" t="s">
        <v>12</v>
      </c>
      <c r="C43" t="s">
        <v>10</v>
      </c>
      <c r="D43" s="2">
        <v>10.8</v>
      </c>
    </row>
    <row r="44" spans="1:4" hidden="1" x14ac:dyDescent="0.25">
      <c r="A44" t="s">
        <v>87</v>
      </c>
      <c r="B44" t="s">
        <v>12</v>
      </c>
      <c r="C44" t="s">
        <v>91</v>
      </c>
      <c r="D44" s="2">
        <v>13.7</v>
      </c>
    </row>
    <row r="45" spans="1:4" hidden="1" x14ac:dyDescent="0.25">
      <c r="A45" t="s">
        <v>87</v>
      </c>
      <c r="B45" t="s">
        <v>12</v>
      </c>
      <c r="C45" t="s">
        <v>91</v>
      </c>
      <c r="D45" s="2">
        <v>5.9</v>
      </c>
    </row>
    <row r="46" spans="1:4" hidden="1" x14ac:dyDescent="0.25">
      <c r="A46" t="s">
        <v>87</v>
      </c>
      <c r="B46" t="s">
        <v>12</v>
      </c>
      <c r="C46" t="s">
        <v>91</v>
      </c>
      <c r="D46" s="2">
        <v>17.100000000000001</v>
      </c>
    </row>
    <row r="47" spans="1:4" hidden="1" x14ac:dyDescent="0.25">
      <c r="A47" t="s">
        <v>87</v>
      </c>
      <c r="B47" t="s">
        <v>12</v>
      </c>
      <c r="C47" t="s">
        <v>11</v>
      </c>
      <c r="D47" s="2">
        <v>19.5</v>
      </c>
    </row>
    <row r="48" spans="1:4" hidden="1" x14ac:dyDescent="0.25">
      <c r="A48" t="s">
        <v>87</v>
      </c>
      <c r="B48" t="s">
        <v>12</v>
      </c>
      <c r="C48" t="s">
        <v>11</v>
      </c>
      <c r="D48" s="2">
        <v>11.2</v>
      </c>
    </row>
    <row r="49" spans="1:4" hidden="1" x14ac:dyDescent="0.25">
      <c r="A49" t="s">
        <v>87</v>
      </c>
      <c r="B49" t="s">
        <v>12</v>
      </c>
      <c r="C49" t="s">
        <v>11</v>
      </c>
      <c r="D49" s="2">
        <v>18.2</v>
      </c>
    </row>
    <row r="50" spans="1:4" hidden="1" x14ac:dyDescent="0.25">
      <c r="A50" t="s">
        <v>87</v>
      </c>
      <c r="B50" t="s">
        <v>12</v>
      </c>
      <c r="C50" t="s">
        <v>9</v>
      </c>
      <c r="D50" s="2">
        <v>19.399999999999999</v>
      </c>
    </row>
    <row r="51" spans="1:4" hidden="1" x14ac:dyDescent="0.25">
      <c r="A51" t="s">
        <v>87</v>
      </c>
      <c r="B51" t="s">
        <v>12</v>
      </c>
      <c r="C51" t="s">
        <v>9</v>
      </c>
      <c r="D51" s="2">
        <v>11.7</v>
      </c>
    </row>
    <row r="52" spans="1:4" hidden="1" x14ac:dyDescent="0.25">
      <c r="A52" t="s">
        <v>87</v>
      </c>
      <c r="B52" t="s">
        <v>12</v>
      </c>
      <c r="C52" t="s">
        <v>9</v>
      </c>
      <c r="D52" s="2">
        <v>8.5</v>
      </c>
    </row>
    <row r="53" spans="1:4" hidden="1" x14ac:dyDescent="0.25">
      <c r="A53" t="s">
        <v>87</v>
      </c>
      <c r="B53" t="s">
        <v>12</v>
      </c>
      <c r="C53" t="s">
        <v>10</v>
      </c>
      <c r="D53" s="2">
        <v>13.2</v>
      </c>
    </row>
    <row r="54" spans="1:4" hidden="1" x14ac:dyDescent="0.25">
      <c r="A54" t="s">
        <v>87</v>
      </c>
      <c r="B54" t="s">
        <v>12</v>
      </c>
      <c r="C54" t="s">
        <v>10</v>
      </c>
      <c r="D54" s="2">
        <v>6.5</v>
      </c>
    </row>
    <row r="55" spans="1:4" hidden="1" x14ac:dyDescent="0.25">
      <c r="A55" t="s">
        <v>87</v>
      </c>
      <c r="B55" t="s">
        <v>12</v>
      </c>
      <c r="C55" t="s">
        <v>10</v>
      </c>
      <c r="D55" s="2">
        <v>9.6999999999999993</v>
      </c>
    </row>
    <row r="56" spans="1:4" hidden="1" x14ac:dyDescent="0.25">
      <c r="A56" t="s">
        <v>88</v>
      </c>
      <c r="B56" t="s">
        <v>12</v>
      </c>
      <c r="C56" t="s">
        <v>91</v>
      </c>
      <c r="D56" s="2">
        <v>16.600000000000001</v>
      </c>
    </row>
    <row r="57" spans="1:4" hidden="1" x14ac:dyDescent="0.25">
      <c r="A57" t="s">
        <v>88</v>
      </c>
      <c r="B57" t="s">
        <v>12</v>
      </c>
      <c r="C57" t="s">
        <v>91</v>
      </c>
      <c r="D57" s="2">
        <v>5.9</v>
      </c>
    </row>
    <row r="58" spans="1:4" hidden="1" x14ac:dyDescent="0.25">
      <c r="A58" t="s">
        <v>88</v>
      </c>
      <c r="B58" t="s">
        <v>12</v>
      </c>
      <c r="C58" t="s">
        <v>91</v>
      </c>
      <c r="D58" s="2">
        <v>14.9</v>
      </c>
    </row>
    <row r="59" spans="1:4" hidden="1" x14ac:dyDescent="0.25">
      <c r="A59" t="s">
        <v>88</v>
      </c>
      <c r="B59" t="s">
        <v>12</v>
      </c>
      <c r="C59" t="s">
        <v>11</v>
      </c>
      <c r="D59" s="2">
        <v>19.600000000000001</v>
      </c>
    </row>
    <row r="60" spans="1:4" hidden="1" x14ac:dyDescent="0.25">
      <c r="A60" t="s">
        <v>88</v>
      </c>
      <c r="B60" t="s">
        <v>12</v>
      </c>
      <c r="C60" t="s">
        <v>11</v>
      </c>
      <c r="D60" s="2">
        <v>12.7</v>
      </c>
    </row>
    <row r="61" spans="1:4" hidden="1" x14ac:dyDescent="0.25">
      <c r="A61" t="s">
        <v>88</v>
      </c>
      <c r="B61" t="s">
        <v>12</v>
      </c>
      <c r="C61" t="s">
        <v>11</v>
      </c>
      <c r="D61" s="2">
        <v>13.6</v>
      </c>
    </row>
    <row r="62" spans="1:4" hidden="1" x14ac:dyDescent="0.25">
      <c r="A62" t="s">
        <v>88</v>
      </c>
      <c r="B62" t="s">
        <v>12</v>
      </c>
      <c r="C62" t="s">
        <v>9</v>
      </c>
      <c r="D62" s="2">
        <v>22.8</v>
      </c>
    </row>
    <row r="63" spans="1:4" hidden="1" x14ac:dyDescent="0.25">
      <c r="A63" t="s">
        <v>88</v>
      </c>
      <c r="B63" t="s">
        <v>12</v>
      </c>
      <c r="C63" t="s">
        <v>9</v>
      </c>
      <c r="D63" s="2">
        <v>10.4</v>
      </c>
    </row>
    <row r="64" spans="1:4" hidden="1" x14ac:dyDescent="0.25">
      <c r="A64" t="s">
        <v>88</v>
      </c>
      <c r="B64" t="s">
        <v>12</v>
      </c>
      <c r="C64" t="s">
        <v>9</v>
      </c>
      <c r="D64" s="2">
        <v>7.5</v>
      </c>
    </row>
    <row r="65" spans="1:4" hidden="1" x14ac:dyDescent="0.25">
      <c r="A65" t="s">
        <v>88</v>
      </c>
      <c r="B65" t="s">
        <v>12</v>
      </c>
      <c r="C65" t="s">
        <v>10</v>
      </c>
      <c r="D65" s="2">
        <v>13.2</v>
      </c>
    </row>
    <row r="66" spans="1:4" hidden="1" x14ac:dyDescent="0.25">
      <c r="A66" t="s">
        <v>88</v>
      </c>
      <c r="B66" t="s">
        <v>12</v>
      </c>
      <c r="C66" t="s">
        <v>10</v>
      </c>
      <c r="D66" s="2">
        <v>10.199999999999999</v>
      </c>
    </row>
    <row r="67" spans="1:4" hidden="1" x14ac:dyDescent="0.25">
      <c r="A67" t="s">
        <v>88</v>
      </c>
      <c r="B67" t="s">
        <v>12</v>
      </c>
      <c r="C67" t="s">
        <v>10</v>
      </c>
      <c r="D67" s="2">
        <v>12.6</v>
      </c>
    </row>
    <row r="68" spans="1:4" hidden="1" x14ac:dyDescent="0.25">
      <c r="A68" t="s">
        <v>89</v>
      </c>
      <c r="B68" t="s">
        <v>12</v>
      </c>
      <c r="C68" t="s">
        <v>91</v>
      </c>
      <c r="D68" s="2">
        <v>18.600000000000001</v>
      </c>
    </row>
    <row r="69" spans="1:4" hidden="1" x14ac:dyDescent="0.25">
      <c r="A69" t="s">
        <v>89</v>
      </c>
      <c r="B69" t="s">
        <v>12</v>
      </c>
      <c r="C69" t="s">
        <v>91</v>
      </c>
      <c r="D69" s="2">
        <v>7.8</v>
      </c>
    </row>
    <row r="70" spans="1:4" hidden="1" x14ac:dyDescent="0.25">
      <c r="A70" t="s">
        <v>89</v>
      </c>
      <c r="B70" t="s">
        <v>12</v>
      </c>
      <c r="C70" t="s">
        <v>91</v>
      </c>
      <c r="D70" s="2">
        <v>15</v>
      </c>
    </row>
    <row r="71" spans="1:4" hidden="1" x14ac:dyDescent="0.25">
      <c r="A71" t="s">
        <v>89</v>
      </c>
      <c r="B71" t="s">
        <v>12</v>
      </c>
      <c r="C71" t="s">
        <v>11</v>
      </c>
      <c r="D71" s="2">
        <v>15.2</v>
      </c>
    </row>
    <row r="72" spans="1:4" hidden="1" x14ac:dyDescent="0.25">
      <c r="A72" t="s">
        <v>89</v>
      </c>
      <c r="B72" t="s">
        <v>12</v>
      </c>
      <c r="C72" t="s">
        <v>11</v>
      </c>
      <c r="D72" s="2">
        <v>6.6</v>
      </c>
    </row>
    <row r="73" spans="1:4" hidden="1" x14ac:dyDescent="0.25">
      <c r="A73" t="s">
        <v>89</v>
      </c>
      <c r="B73" t="s">
        <v>12</v>
      </c>
      <c r="C73" t="s">
        <v>11</v>
      </c>
      <c r="D73" s="2">
        <v>11.2</v>
      </c>
    </row>
    <row r="74" spans="1:4" hidden="1" x14ac:dyDescent="0.25">
      <c r="A74" t="s">
        <v>89</v>
      </c>
      <c r="B74" t="s">
        <v>12</v>
      </c>
      <c r="C74" t="s">
        <v>9</v>
      </c>
      <c r="D74" s="2">
        <v>24.6</v>
      </c>
    </row>
    <row r="75" spans="1:4" hidden="1" x14ac:dyDescent="0.25">
      <c r="A75" t="s">
        <v>89</v>
      </c>
      <c r="B75" t="s">
        <v>12</v>
      </c>
      <c r="C75" t="s">
        <v>9</v>
      </c>
      <c r="D75" s="2">
        <v>10.4</v>
      </c>
    </row>
    <row r="76" spans="1:4" hidden="1" x14ac:dyDescent="0.25">
      <c r="A76" t="s">
        <v>89</v>
      </c>
      <c r="B76" t="s">
        <v>12</v>
      </c>
      <c r="C76" t="s">
        <v>9</v>
      </c>
      <c r="D76" s="2">
        <v>4.5</v>
      </c>
    </row>
    <row r="77" spans="1:4" hidden="1" x14ac:dyDescent="0.25">
      <c r="A77" t="s">
        <v>89</v>
      </c>
      <c r="B77" t="s">
        <v>12</v>
      </c>
      <c r="C77" t="s">
        <v>10</v>
      </c>
      <c r="D77" s="2">
        <v>11.3</v>
      </c>
    </row>
    <row r="78" spans="1:4" hidden="1" x14ac:dyDescent="0.25">
      <c r="A78" t="s">
        <v>89</v>
      </c>
      <c r="B78" t="s">
        <v>12</v>
      </c>
      <c r="C78" t="s">
        <v>10</v>
      </c>
      <c r="D78" s="2">
        <v>9.5</v>
      </c>
    </row>
    <row r="79" spans="1:4" hidden="1" x14ac:dyDescent="0.25">
      <c r="A79" t="s">
        <v>90</v>
      </c>
      <c r="B79" t="s">
        <v>12</v>
      </c>
      <c r="C79" t="s">
        <v>10</v>
      </c>
      <c r="D79" s="2">
        <v>10.7</v>
      </c>
    </row>
    <row r="80" spans="1:4" hidden="1" x14ac:dyDescent="0.25">
      <c r="A80" t="s">
        <v>90</v>
      </c>
      <c r="B80" t="s">
        <v>12</v>
      </c>
      <c r="C80" t="s">
        <v>91</v>
      </c>
      <c r="D80" s="2">
        <v>16.100000000000001</v>
      </c>
    </row>
    <row r="81" spans="1:4" hidden="1" x14ac:dyDescent="0.25">
      <c r="A81" t="s">
        <v>90</v>
      </c>
      <c r="B81" t="s">
        <v>12</v>
      </c>
      <c r="C81" t="s">
        <v>91</v>
      </c>
      <c r="D81" s="2">
        <v>10.199999999999999</v>
      </c>
    </row>
    <row r="82" spans="1:4" hidden="1" x14ac:dyDescent="0.25">
      <c r="A82" t="s">
        <v>90</v>
      </c>
      <c r="B82" t="s">
        <v>12</v>
      </c>
      <c r="C82" t="s">
        <v>91</v>
      </c>
      <c r="D82" s="2">
        <v>9.8000000000000007</v>
      </c>
    </row>
    <row r="83" spans="1:4" hidden="1" x14ac:dyDescent="0.25">
      <c r="A83" t="s">
        <v>90</v>
      </c>
      <c r="B83" t="s">
        <v>12</v>
      </c>
      <c r="C83" t="s">
        <v>11</v>
      </c>
      <c r="D83" s="2">
        <v>14.1</v>
      </c>
    </row>
    <row r="84" spans="1:4" hidden="1" x14ac:dyDescent="0.25">
      <c r="A84" t="s">
        <v>90</v>
      </c>
      <c r="B84" t="s">
        <v>12</v>
      </c>
      <c r="C84" t="s">
        <v>11</v>
      </c>
      <c r="D84" s="2">
        <v>8.1</v>
      </c>
    </row>
    <row r="85" spans="1:4" hidden="1" x14ac:dyDescent="0.25">
      <c r="A85" t="s">
        <v>90</v>
      </c>
      <c r="B85" t="s">
        <v>12</v>
      </c>
      <c r="C85" t="s">
        <v>11</v>
      </c>
      <c r="D85" s="2">
        <v>10.7</v>
      </c>
    </row>
    <row r="86" spans="1:4" hidden="1" x14ac:dyDescent="0.25">
      <c r="A86" t="s">
        <v>90</v>
      </c>
      <c r="B86" t="s">
        <v>12</v>
      </c>
      <c r="C86" t="s">
        <v>9</v>
      </c>
      <c r="D86" s="2">
        <v>18.100000000000001</v>
      </c>
    </row>
    <row r="87" spans="1:4" hidden="1" x14ac:dyDescent="0.25">
      <c r="A87" t="s">
        <v>90</v>
      </c>
      <c r="B87" t="s">
        <v>12</v>
      </c>
      <c r="C87" t="s">
        <v>9</v>
      </c>
      <c r="D87" s="2">
        <v>10.3</v>
      </c>
    </row>
    <row r="88" spans="1:4" hidden="1" x14ac:dyDescent="0.25">
      <c r="A88" t="s">
        <v>90</v>
      </c>
      <c r="B88" t="s">
        <v>12</v>
      </c>
      <c r="C88" t="s">
        <v>9</v>
      </c>
      <c r="D88" s="2">
        <v>3</v>
      </c>
    </row>
    <row r="89" spans="1:4" hidden="1" x14ac:dyDescent="0.25">
      <c r="A89" t="s">
        <v>90</v>
      </c>
      <c r="B89" t="s">
        <v>12</v>
      </c>
      <c r="C89" t="s">
        <v>10</v>
      </c>
      <c r="D89" s="2">
        <v>13.2</v>
      </c>
    </row>
    <row r="90" spans="1:4" hidden="1" x14ac:dyDescent="0.25">
      <c r="A90" t="s">
        <v>90</v>
      </c>
      <c r="B90" t="s">
        <v>12</v>
      </c>
      <c r="C90" t="s">
        <v>10</v>
      </c>
      <c r="D90" s="2">
        <v>9.5</v>
      </c>
    </row>
    <row r="91" spans="1:4" hidden="1" x14ac:dyDescent="0.25">
      <c r="A91" t="s">
        <v>90</v>
      </c>
      <c r="B91" t="s">
        <v>12</v>
      </c>
      <c r="C91" t="s">
        <v>10</v>
      </c>
      <c r="D91" s="2">
        <v>10.199999999999999</v>
      </c>
    </row>
    <row r="92" spans="1:4" hidden="1" x14ac:dyDescent="0.25">
      <c r="A92" t="s">
        <v>83</v>
      </c>
      <c r="B92" t="s">
        <v>12</v>
      </c>
      <c r="C92" t="s">
        <v>91</v>
      </c>
      <c r="D92" s="2">
        <v>15.9</v>
      </c>
    </row>
    <row r="93" spans="1:4" hidden="1" x14ac:dyDescent="0.25">
      <c r="A93" t="s">
        <v>83</v>
      </c>
      <c r="B93" t="s">
        <v>12</v>
      </c>
      <c r="C93" t="s">
        <v>91</v>
      </c>
      <c r="D93" s="2">
        <v>5.2</v>
      </c>
    </row>
    <row r="94" spans="1:4" hidden="1" x14ac:dyDescent="0.25">
      <c r="A94" t="s">
        <v>83</v>
      </c>
      <c r="B94" t="s">
        <v>12</v>
      </c>
      <c r="C94" t="s">
        <v>91</v>
      </c>
      <c r="D94" s="2">
        <v>9.1</v>
      </c>
    </row>
    <row r="95" spans="1:4" hidden="1" x14ac:dyDescent="0.25">
      <c r="A95" t="s">
        <v>83</v>
      </c>
      <c r="B95" t="s">
        <v>12</v>
      </c>
      <c r="C95" t="s">
        <v>11</v>
      </c>
      <c r="D95" s="2">
        <v>12.2</v>
      </c>
    </row>
    <row r="96" spans="1:4" hidden="1" x14ac:dyDescent="0.25">
      <c r="A96" t="s">
        <v>83</v>
      </c>
      <c r="B96" t="s">
        <v>12</v>
      </c>
      <c r="C96" t="s">
        <v>11</v>
      </c>
      <c r="D96" s="2">
        <v>7.4</v>
      </c>
    </row>
    <row r="97" spans="1:4" hidden="1" x14ac:dyDescent="0.25">
      <c r="A97" t="s">
        <v>83</v>
      </c>
      <c r="B97" t="s">
        <v>12</v>
      </c>
      <c r="C97" t="s">
        <v>11</v>
      </c>
      <c r="D97" s="2">
        <v>9.8000000000000007</v>
      </c>
    </row>
    <row r="98" spans="1:4" hidden="1" x14ac:dyDescent="0.25">
      <c r="A98" t="s">
        <v>83</v>
      </c>
      <c r="B98" t="s">
        <v>13</v>
      </c>
      <c r="C98" t="s">
        <v>9</v>
      </c>
      <c r="D98" s="2">
        <v>8.4</v>
      </c>
    </row>
    <row r="99" spans="1:4" hidden="1" x14ac:dyDescent="0.25">
      <c r="A99" t="s">
        <v>83</v>
      </c>
      <c r="B99" t="s">
        <v>13</v>
      </c>
      <c r="C99" t="s">
        <v>9</v>
      </c>
      <c r="D99" s="2">
        <v>9.1</v>
      </c>
    </row>
    <row r="100" spans="1:4" hidden="1" x14ac:dyDescent="0.25">
      <c r="A100" t="s">
        <v>83</v>
      </c>
      <c r="B100" t="s">
        <v>13</v>
      </c>
      <c r="C100" t="s">
        <v>9</v>
      </c>
      <c r="D100" s="2">
        <v>38.5</v>
      </c>
    </row>
    <row r="101" spans="1:4" hidden="1" x14ac:dyDescent="0.25">
      <c r="A101" t="s">
        <v>83</v>
      </c>
      <c r="B101" t="s">
        <v>13</v>
      </c>
      <c r="C101" t="s">
        <v>10</v>
      </c>
      <c r="D101" s="2">
        <v>5.0999999999999996</v>
      </c>
    </row>
    <row r="102" spans="1:4" hidden="1" x14ac:dyDescent="0.25">
      <c r="A102" t="s">
        <v>83</v>
      </c>
      <c r="B102" t="s">
        <v>13</v>
      </c>
      <c r="C102" t="s">
        <v>10</v>
      </c>
      <c r="D102" s="2">
        <v>19.399999999999999</v>
      </c>
    </row>
    <row r="103" spans="1:4" hidden="1" x14ac:dyDescent="0.25">
      <c r="A103" t="s">
        <v>83</v>
      </c>
      <c r="B103" t="s">
        <v>13</v>
      </c>
      <c r="C103" t="s">
        <v>10</v>
      </c>
      <c r="D103" s="2">
        <v>35.799999999999997</v>
      </c>
    </row>
    <row r="104" spans="1:4" hidden="1" x14ac:dyDescent="0.25">
      <c r="A104" t="s">
        <v>84</v>
      </c>
      <c r="B104" t="s">
        <v>13</v>
      </c>
      <c r="C104" t="s">
        <v>91</v>
      </c>
      <c r="D104" s="2">
        <v>3.5</v>
      </c>
    </row>
    <row r="105" spans="1:4" hidden="1" x14ac:dyDescent="0.25">
      <c r="A105" t="s">
        <v>84</v>
      </c>
      <c r="B105" t="s">
        <v>13</v>
      </c>
      <c r="C105" t="s">
        <v>91</v>
      </c>
      <c r="D105" s="2">
        <v>4.2</v>
      </c>
    </row>
    <row r="106" spans="1:4" hidden="1" x14ac:dyDescent="0.25">
      <c r="A106" t="s">
        <v>84</v>
      </c>
      <c r="B106" t="s">
        <v>13</v>
      </c>
      <c r="C106" t="s">
        <v>91</v>
      </c>
      <c r="D106" s="2">
        <v>45.3</v>
      </c>
    </row>
    <row r="107" spans="1:4" hidden="1" x14ac:dyDescent="0.25">
      <c r="A107" t="s">
        <v>84</v>
      </c>
      <c r="B107" t="s">
        <v>13</v>
      </c>
      <c r="C107" t="s">
        <v>11</v>
      </c>
      <c r="D107" s="2">
        <v>14.7</v>
      </c>
    </row>
    <row r="108" spans="1:4" hidden="1" x14ac:dyDescent="0.25">
      <c r="A108" t="s">
        <v>84</v>
      </c>
      <c r="B108" t="s">
        <v>13</v>
      </c>
      <c r="C108" t="s">
        <v>11</v>
      </c>
      <c r="D108" s="2">
        <v>4.0999999999999996</v>
      </c>
    </row>
    <row r="109" spans="1:4" hidden="1" x14ac:dyDescent="0.25">
      <c r="A109" t="s">
        <v>84</v>
      </c>
      <c r="B109" t="s">
        <v>13</v>
      </c>
      <c r="C109" t="s">
        <v>11</v>
      </c>
      <c r="D109" s="2">
        <v>2.8</v>
      </c>
    </row>
    <row r="110" spans="1:4" hidden="1" x14ac:dyDescent="0.25">
      <c r="A110" t="s">
        <v>84</v>
      </c>
      <c r="B110" t="s">
        <v>13</v>
      </c>
      <c r="C110" t="s">
        <v>9</v>
      </c>
      <c r="D110" s="2">
        <v>5.4</v>
      </c>
    </row>
    <row r="111" spans="1:4" hidden="1" x14ac:dyDescent="0.25">
      <c r="A111" t="s">
        <v>84</v>
      </c>
      <c r="B111" t="s">
        <v>13</v>
      </c>
      <c r="C111" t="s">
        <v>9</v>
      </c>
      <c r="D111" s="2">
        <v>4.2</v>
      </c>
    </row>
    <row r="112" spans="1:4" hidden="1" x14ac:dyDescent="0.25">
      <c r="A112" t="s">
        <v>84</v>
      </c>
      <c r="B112" t="s">
        <v>13</v>
      </c>
      <c r="C112" t="s">
        <v>9</v>
      </c>
      <c r="D112" s="2">
        <v>38.5</v>
      </c>
    </row>
    <row r="113" spans="1:4" hidden="1" x14ac:dyDescent="0.25">
      <c r="A113" t="s">
        <v>84</v>
      </c>
      <c r="B113" t="s">
        <v>13</v>
      </c>
      <c r="C113" t="s">
        <v>10</v>
      </c>
      <c r="D113" s="2">
        <v>5.4</v>
      </c>
    </row>
    <row r="114" spans="1:4" hidden="1" x14ac:dyDescent="0.25">
      <c r="A114" t="s">
        <v>84</v>
      </c>
      <c r="B114" t="s">
        <v>13</v>
      </c>
      <c r="C114" t="s">
        <v>10</v>
      </c>
      <c r="D114" s="2">
        <v>6.4</v>
      </c>
    </row>
    <row r="115" spans="1:4" hidden="1" x14ac:dyDescent="0.25">
      <c r="A115" t="s">
        <v>84</v>
      </c>
      <c r="B115" t="s">
        <v>13</v>
      </c>
      <c r="C115" t="s">
        <v>10</v>
      </c>
      <c r="D115" s="2">
        <v>32.700000000000003</v>
      </c>
    </row>
    <row r="116" spans="1:4" hidden="1" x14ac:dyDescent="0.25">
      <c r="A116" t="s">
        <v>85</v>
      </c>
      <c r="B116" t="s">
        <v>13</v>
      </c>
      <c r="C116" t="s">
        <v>91</v>
      </c>
      <c r="D116" s="2">
        <v>5.4</v>
      </c>
    </row>
    <row r="117" spans="1:4" hidden="1" x14ac:dyDescent="0.25">
      <c r="A117" t="s">
        <v>85</v>
      </c>
      <c r="B117" t="s">
        <v>13</v>
      </c>
      <c r="C117" t="s">
        <v>91</v>
      </c>
      <c r="D117" s="2">
        <v>4.8</v>
      </c>
    </row>
    <row r="118" spans="1:4" hidden="1" x14ac:dyDescent="0.25">
      <c r="A118" t="s">
        <v>85</v>
      </c>
      <c r="B118" t="s">
        <v>13</v>
      </c>
      <c r="C118" t="s">
        <v>91</v>
      </c>
      <c r="D118" s="2">
        <v>42.7</v>
      </c>
    </row>
    <row r="119" spans="1:4" hidden="1" x14ac:dyDescent="0.25">
      <c r="A119" t="s">
        <v>85</v>
      </c>
      <c r="B119" t="s">
        <v>13</v>
      </c>
      <c r="C119" t="s">
        <v>11</v>
      </c>
      <c r="D119" s="2">
        <v>8.9</v>
      </c>
    </row>
    <row r="120" spans="1:4" hidden="1" x14ac:dyDescent="0.25">
      <c r="A120" t="s">
        <v>85</v>
      </c>
      <c r="B120" t="s">
        <v>13</v>
      </c>
      <c r="C120" t="s">
        <v>11</v>
      </c>
      <c r="D120" s="2">
        <v>3.9</v>
      </c>
    </row>
    <row r="121" spans="1:4" hidden="1" x14ac:dyDescent="0.25">
      <c r="A121" t="s">
        <v>85</v>
      </c>
      <c r="B121" t="s">
        <v>13</v>
      </c>
      <c r="C121" t="s">
        <v>11</v>
      </c>
      <c r="D121" s="2">
        <v>5.9</v>
      </c>
    </row>
    <row r="122" spans="1:4" hidden="1" x14ac:dyDescent="0.25">
      <c r="A122" t="s">
        <v>85</v>
      </c>
      <c r="B122" t="s">
        <v>13</v>
      </c>
      <c r="C122" t="s">
        <v>9</v>
      </c>
      <c r="D122" s="2">
        <v>3.1</v>
      </c>
    </row>
    <row r="123" spans="1:4" hidden="1" x14ac:dyDescent="0.25">
      <c r="A123" t="s">
        <v>85</v>
      </c>
      <c r="B123" t="s">
        <v>13</v>
      </c>
      <c r="C123" t="s">
        <v>9</v>
      </c>
      <c r="D123" s="2">
        <v>5.7</v>
      </c>
    </row>
    <row r="124" spans="1:4" hidden="1" x14ac:dyDescent="0.25">
      <c r="A124" t="s">
        <v>85</v>
      </c>
      <c r="B124" t="s">
        <v>13</v>
      </c>
      <c r="C124" t="s">
        <v>9</v>
      </c>
      <c r="D124" s="2">
        <v>39.299999999999997</v>
      </c>
    </row>
    <row r="125" spans="1:4" hidden="1" x14ac:dyDescent="0.25">
      <c r="A125" t="s">
        <v>85</v>
      </c>
      <c r="B125" t="s">
        <v>13</v>
      </c>
      <c r="C125" t="s">
        <v>10</v>
      </c>
      <c r="D125" s="2">
        <v>4.2</v>
      </c>
    </row>
    <row r="126" spans="1:4" hidden="1" x14ac:dyDescent="0.25">
      <c r="A126" t="s">
        <v>85</v>
      </c>
      <c r="B126" t="s">
        <v>13</v>
      </c>
      <c r="C126" t="s">
        <v>10</v>
      </c>
      <c r="D126" s="2">
        <v>6.9</v>
      </c>
    </row>
    <row r="127" spans="1:4" hidden="1" x14ac:dyDescent="0.25">
      <c r="A127" t="s">
        <v>85</v>
      </c>
      <c r="B127" t="s">
        <v>13</v>
      </c>
      <c r="C127" t="s">
        <v>10</v>
      </c>
      <c r="D127" s="2">
        <v>32.9</v>
      </c>
    </row>
    <row r="128" spans="1:4" hidden="1" x14ac:dyDescent="0.25">
      <c r="A128" t="s">
        <v>86</v>
      </c>
      <c r="B128" t="s">
        <v>13</v>
      </c>
      <c r="C128" t="s">
        <v>91</v>
      </c>
      <c r="D128" s="2">
        <v>14.5</v>
      </c>
    </row>
    <row r="129" spans="1:4" hidden="1" x14ac:dyDescent="0.25">
      <c r="A129" t="s">
        <v>86</v>
      </c>
      <c r="B129" t="s">
        <v>13</v>
      </c>
      <c r="C129" t="s">
        <v>91</v>
      </c>
      <c r="D129" s="2">
        <v>6.3</v>
      </c>
    </row>
    <row r="130" spans="1:4" hidden="1" x14ac:dyDescent="0.25">
      <c r="A130" t="s">
        <v>86</v>
      </c>
      <c r="B130" t="s">
        <v>13</v>
      </c>
      <c r="C130" t="s">
        <v>91</v>
      </c>
      <c r="D130" s="2">
        <v>41.6</v>
      </c>
    </row>
    <row r="131" spans="1:4" hidden="1" x14ac:dyDescent="0.25">
      <c r="A131" t="s">
        <v>86</v>
      </c>
      <c r="B131" t="s">
        <v>13</v>
      </c>
      <c r="C131" t="s">
        <v>11</v>
      </c>
      <c r="D131" s="2">
        <v>5.6</v>
      </c>
    </row>
    <row r="132" spans="1:4" hidden="1" x14ac:dyDescent="0.25">
      <c r="A132" t="s">
        <v>86</v>
      </c>
      <c r="B132" t="s">
        <v>13</v>
      </c>
      <c r="C132" t="s">
        <v>11</v>
      </c>
      <c r="D132" s="2">
        <v>5.0999999999999996</v>
      </c>
    </row>
    <row r="133" spans="1:4" hidden="1" x14ac:dyDescent="0.25">
      <c r="A133" t="s">
        <v>86</v>
      </c>
      <c r="B133" t="s">
        <v>13</v>
      </c>
      <c r="C133" t="s">
        <v>11</v>
      </c>
      <c r="D133" s="2">
        <v>4.47</v>
      </c>
    </row>
    <row r="134" spans="1:4" hidden="1" x14ac:dyDescent="0.25">
      <c r="A134" t="s">
        <v>86</v>
      </c>
      <c r="B134" t="s">
        <v>13</v>
      </c>
      <c r="C134" t="s">
        <v>9</v>
      </c>
      <c r="D134" s="2">
        <v>5</v>
      </c>
    </row>
    <row r="135" spans="1:4" hidden="1" x14ac:dyDescent="0.25">
      <c r="A135" t="s">
        <v>86</v>
      </c>
      <c r="B135" t="s">
        <v>13</v>
      </c>
      <c r="C135" t="s">
        <v>9</v>
      </c>
      <c r="D135" s="2">
        <v>4.3</v>
      </c>
    </row>
    <row r="136" spans="1:4" hidden="1" x14ac:dyDescent="0.25">
      <c r="A136" t="s">
        <v>86</v>
      </c>
      <c r="B136" t="s">
        <v>13</v>
      </c>
      <c r="C136" t="s">
        <v>9</v>
      </c>
      <c r="D136" s="2">
        <v>38.799999999999997</v>
      </c>
    </row>
    <row r="137" spans="1:4" hidden="1" x14ac:dyDescent="0.25">
      <c r="A137" t="s">
        <v>86</v>
      </c>
      <c r="B137" t="s">
        <v>13</v>
      </c>
      <c r="C137" t="s">
        <v>10</v>
      </c>
      <c r="D137" s="2">
        <v>3.5</v>
      </c>
    </row>
    <row r="138" spans="1:4" hidden="1" x14ac:dyDescent="0.25">
      <c r="A138" t="s">
        <v>86</v>
      </c>
      <c r="B138" t="s">
        <v>13</v>
      </c>
      <c r="C138" t="s">
        <v>10</v>
      </c>
      <c r="D138" s="2">
        <v>7</v>
      </c>
    </row>
    <row r="139" spans="1:4" hidden="1" x14ac:dyDescent="0.25">
      <c r="A139" t="s">
        <v>86</v>
      </c>
      <c r="B139" t="s">
        <v>13</v>
      </c>
      <c r="C139" t="s">
        <v>10</v>
      </c>
      <c r="D139" s="2">
        <v>32.700000000000003</v>
      </c>
    </row>
    <row r="140" spans="1:4" hidden="1" x14ac:dyDescent="0.25">
      <c r="A140" t="s">
        <v>87</v>
      </c>
      <c r="B140" t="s">
        <v>13</v>
      </c>
      <c r="C140" t="s">
        <v>91</v>
      </c>
      <c r="D140" s="2">
        <v>14.5</v>
      </c>
    </row>
    <row r="141" spans="1:4" hidden="1" x14ac:dyDescent="0.25">
      <c r="A141" t="s">
        <v>87</v>
      </c>
      <c r="B141" t="s">
        <v>13</v>
      </c>
      <c r="C141" t="s">
        <v>91</v>
      </c>
      <c r="D141" s="2">
        <v>12.7</v>
      </c>
    </row>
    <row r="142" spans="1:4" hidden="1" x14ac:dyDescent="0.25">
      <c r="A142" t="s">
        <v>87</v>
      </c>
      <c r="B142" t="s">
        <v>13</v>
      </c>
      <c r="C142" t="s">
        <v>91</v>
      </c>
      <c r="D142" s="2">
        <v>39.9</v>
      </c>
    </row>
    <row r="143" spans="1:4" hidden="1" x14ac:dyDescent="0.25">
      <c r="A143" t="s">
        <v>87</v>
      </c>
      <c r="B143" t="s">
        <v>13</v>
      </c>
      <c r="C143" t="s">
        <v>11</v>
      </c>
      <c r="D143" s="2">
        <v>5.8</v>
      </c>
    </row>
    <row r="144" spans="1:4" hidden="1" x14ac:dyDescent="0.25">
      <c r="A144" t="s">
        <v>87</v>
      </c>
      <c r="B144" t="s">
        <v>13</v>
      </c>
      <c r="C144" t="s">
        <v>11</v>
      </c>
      <c r="D144" s="2">
        <v>6.3</v>
      </c>
    </row>
    <row r="145" spans="1:4" hidden="1" x14ac:dyDescent="0.25">
      <c r="A145" t="s">
        <v>87</v>
      </c>
      <c r="B145" t="s">
        <v>13</v>
      </c>
      <c r="C145" t="s">
        <v>11</v>
      </c>
      <c r="D145" s="2">
        <v>5.0999999999999996</v>
      </c>
    </row>
    <row r="146" spans="1:4" hidden="1" x14ac:dyDescent="0.25">
      <c r="A146" t="s">
        <v>87</v>
      </c>
      <c r="B146" t="s">
        <v>13</v>
      </c>
      <c r="C146" t="s">
        <v>9</v>
      </c>
      <c r="D146" s="2">
        <v>6.6</v>
      </c>
    </row>
    <row r="147" spans="1:4" hidden="1" x14ac:dyDescent="0.25">
      <c r="A147" t="s">
        <v>87</v>
      </c>
      <c r="B147" t="s">
        <v>13</v>
      </c>
      <c r="C147" t="s">
        <v>9</v>
      </c>
      <c r="D147" s="2">
        <v>4.3</v>
      </c>
    </row>
    <row r="148" spans="1:4" hidden="1" x14ac:dyDescent="0.25">
      <c r="A148" t="s">
        <v>87</v>
      </c>
      <c r="B148" t="s">
        <v>13</v>
      </c>
      <c r="C148" t="s">
        <v>9</v>
      </c>
      <c r="D148" s="2">
        <v>38</v>
      </c>
    </row>
    <row r="149" spans="1:4" hidden="1" x14ac:dyDescent="0.25">
      <c r="A149" t="s">
        <v>87</v>
      </c>
      <c r="B149" t="s">
        <v>13</v>
      </c>
      <c r="C149" t="s">
        <v>10</v>
      </c>
      <c r="D149" s="2">
        <v>8.9</v>
      </c>
    </row>
    <row r="150" spans="1:4" hidden="1" x14ac:dyDescent="0.25">
      <c r="A150" t="s">
        <v>87</v>
      </c>
      <c r="B150" t="s">
        <v>13</v>
      </c>
      <c r="C150" t="s">
        <v>10</v>
      </c>
      <c r="D150" s="2">
        <v>9.6999999999999993</v>
      </c>
    </row>
    <row r="151" spans="1:4" hidden="1" x14ac:dyDescent="0.25">
      <c r="A151" t="s">
        <v>87</v>
      </c>
      <c r="B151" t="s">
        <v>13</v>
      </c>
      <c r="C151" t="s">
        <v>10</v>
      </c>
      <c r="D151" s="2">
        <v>37.1</v>
      </c>
    </row>
    <row r="152" spans="1:4" hidden="1" x14ac:dyDescent="0.25">
      <c r="A152" t="s">
        <v>88</v>
      </c>
      <c r="B152" t="s">
        <v>13</v>
      </c>
      <c r="C152" t="s">
        <v>91</v>
      </c>
      <c r="D152" s="2">
        <v>17</v>
      </c>
    </row>
    <row r="153" spans="1:4" hidden="1" x14ac:dyDescent="0.25">
      <c r="A153" t="s">
        <v>88</v>
      </c>
      <c r="B153" t="s">
        <v>13</v>
      </c>
      <c r="C153" t="s">
        <v>91</v>
      </c>
      <c r="D153" s="2">
        <v>16.899999999999999</v>
      </c>
    </row>
    <row r="154" spans="1:4" hidden="1" x14ac:dyDescent="0.25">
      <c r="A154" t="s">
        <v>88</v>
      </c>
      <c r="B154" t="s">
        <v>13</v>
      </c>
      <c r="C154" t="s">
        <v>91</v>
      </c>
      <c r="D154" s="2">
        <v>40.4</v>
      </c>
    </row>
    <row r="155" spans="1:4" hidden="1" x14ac:dyDescent="0.25">
      <c r="A155" t="s">
        <v>88</v>
      </c>
      <c r="B155" t="s">
        <v>13</v>
      </c>
      <c r="C155" t="s">
        <v>11</v>
      </c>
      <c r="D155" s="2">
        <v>9.3000000000000007</v>
      </c>
    </row>
    <row r="156" spans="1:4" hidden="1" x14ac:dyDescent="0.25">
      <c r="A156" t="s">
        <v>88</v>
      </c>
      <c r="B156" t="s">
        <v>13</v>
      </c>
      <c r="C156" t="s">
        <v>11</v>
      </c>
      <c r="D156" s="2">
        <v>6.3</v>
      </c>
    </row>
    <row r="157" spans="1:4" hidden="1" x14ac:dyDescent="0.25">
      <c r="A157" t="s">
        <v>88</v>
      </c>
      <c r="B157" t="s">
        <v>13</v>
      </c>
      <c r="C157" t="s">
        <v>11</v>
      </c>
      <c r="D157" s="2">
        <v>5.0999999999999996</v>
      </c>
    </row>
    <row r="158" spans="1:4" hidden="1" x14ac:dyDescent="0.25">
      <c r="A158" t="s">
        <v>88</v>
      </c>
      <c r="B158" t="s">
        <v>13</v>
      </c>
      <c r="C158" t="s">
        <v>9</v>
      </c>
      <c r="D158" s="2">
        <v>7.9</v>
      </c>
    </row>
    <row r="159" spans="1:4" hidden="1" x14ac:dyDescent="0.25">
      <c r="A159" t="s">
        <v>88</v>
      </c>
      <c r="B159" t="s">
        <v>13</v>
      </c>
      <c r="C159" t="s">
        <v>9</v>
      </c>
      <c r="D159" s="2">
        <v>6.2</v>
      </c>
    </row>
    <row r="160" spans="1:4" hidden="1" x14ac:dyDescent="0.25">
      <c r="A160" t="s">
        <v>88</v>
      </c>
      <c r="B160" t="s">
        <v>13</v>
      </c>
      <c r="C160" t="s">
        <v>9</v>
      </c>
      <c r="D160" s="2">
        <v>36.9</v>
      </c>
    </row>
    <row r="161" spans="1:4" hidden="1" x14ac:dyDescent="0.25">
      <c r="A161" t="s">
        <v>88</v>
      </c>
      <c r="B161" t="s">
        <v>13</v>
      </c>
      <c r="C161" t="s">
        <v>10</v>
      </c>
      <c r="D161" s="2">
        <v>9.8000000000000007</v>
      </c>
    </row>
    <row r="162" spans="1:4" hidden="1" x14ac:dyDescent="0.25">
      <c r="A162" t="s">
        <v>88</v>
      </c>
      <c r="B162" t="s">
        <v>13</v>
      </c>
      <c r="C162" t="s">
        <v>10</v>
      </c>
      <c r="D162" s="2">
        <v>11.3</v>
      </c>
    </row>
    <row r="163" spans="1:4" hidden="1" x14ac:dyDescent="0.25">
      <c r="A163" t="s">
        <v>88</v>
      </c>
      <c r="B163" t="s">
        <v>13</v>
      </c>
      <c r="C163" t="s">
        <v>10</v>
      </c>
      <c r="D163" s="2">
        <v>16.899999999999999</v>
      </c>
    </row>
    <row r="164" spans="1:4" hidden="1" x14ac:dyDescent="0.25">
      <c r="A164" t="s">
        <v>89</v>
      </c>
      <c r="B164" t="s">
        <v>13</v>
      </c>
      <c r="C164" t="s">
        <v>91</v>
      </c>
      <c r="D164" s="2">
        <v>10.3</v>
      </c>
    </row>
    <row r="165" spans="1:4" hidden="1" x14ac:dyDescent="0.25">
      <c r="A165" t="s">
        <v>89</v>
      </c>
      <c r="B165" t="s">
        <v>13</v>
      </c>
      <c r="C165" t="s">
        <v>91</v>
      </c>
      <c r="D165" s="2">
        <v>10.9</v>
      </c>
    </row>
    <row r="166" spans="1:4" hidden="1" x14ac:dyDescent="0.25">
      <c r="A166" t="s">
        <v>89</v>
      </c>
      <c r="B166" t="s">
        <v>13</v>
      </c>
      <c r="C166" t="s">
        <v>91</v>
      </c>
      <c r="D166" s="2">
        <v>41.1</v>
      </c>
    </row>
    <row r="167" spans="1:4" hidden="1" x14ac:dyDescent="0.25">
      <c r="A167" t="s">
        <v>89</v>
      </c>
      <c r="B167" t="s">
        <v>13</v>
      </c>
      <c r="C167" t="s">
        <v>11</v>
      </c>
      <c r="D167" s="2">
        <v>5.8</v>
      </c>
    </row>
    <row r="168" spans="1:4" hidden="1" x14ac:dyDescent="0.25">
      <c r="A168" t="s">
        <v>89</v>
      </c>
      <c r="B168" t="s">
        <v>13</v>
      </c>
      <c r="C168" t="s">
        <v>11</v>
      </c>
      <c r="D168" s="2">
        <v>13.8</v>
      </c>
    </row>
    <row r="169" spans="1:4" hidden="1" x14ac:dyDescent="0.25">
      <c r="A169" t="s">
        <v>89</v>
      </c>
      <c r="B169" t="s">
        <v>13</v>
      </c>
      <c r="C169" t="s">
        <v>11</v>
      </c>
      <c r="D169" s="2">
        <v>27.2</v>
      </c>
    </row>
    <row r="170" spans="1:4" hidden="1" x14ac:dyDescent="0.25">
      <c r="A170" t="s">
        <v>89</v>
      </c>
      <c r="B170" t="s">
        <v>13</v>
      </c>
      <c r="C170" t="s">
        <v>9</v>
      </c>
      <c r="D170" s="2">
        <v>6.1</v>
      </c>
    </row>
    <row r="171" spans="1:4" hidden="1" x14ac:dyDescent="0.25">
      <c r="A171" t="s">
        <v>89</v>
      </c>
      <c r="B171" t="s">
        <v>13</v>
      </c>
      <c r="C171" t="s">
        <v>9</v>
      </c>
      <c r="D171" s="2">
        <v>8.5</v>
      </c>
    </row>
    <row r="172" spans="1:4" hidden="1" x14ac:dyDescent="0.25">
      <c r="A172" t="s">
        <v>89</v>
      </c>
      <c r="B172" t="s">
        <v>13</v>
      </c>
      <c r="C172" t="s">
        <v>9</v>
      </c>
      <c r="D172" s="2">
        <v>39.200000000000003</v>
      </c>
    </row>
    <row r="173" spans="1:4" hidden="1" x14ac:dyDescent="0.25">
      <c r="A173" t="s">
        <v>89</v>
      </c>
      <c r="B173" t="s">
        <v>13</v>
      </c>
      <c r="C173" t="s">
        <v>10</v>
      </c>
      <c r="D173" s="2">
        <v>12.2</v>
      </c>
    </row>
    <row r="174" spans="1:4" hidden="1" x14ac:dyDescent="0.25">
      <c r="A174" t="s">
        <v>89</v>
      </c>
      <c r="B174" t="s">
        <v>13</v>
      </c>
      <c r="C174" t="s">
        <v>10</v>
      </c>
      <c r="D174" s="2">
        <v>10.7</v>
      </c>
    </row>
    <row r="175" spans="1:4" hidden="1" x14ac:dyDescent="0.25">
      <c r="A175" t="s">
        <v>90</v>
      </c>
      <c r="B175" t="s">
        <v>13</v>
      </c>
      <c r="C175" t="s">
        <v>10</v>
      </c>
      <c r="D175" s="2">
        <v>34.799999999999997</v>
      </c>
    </row>
    <row r="176" spans="1:4" hidden="1" x14ac:dyDescent="0.25">
      <c r="A176" t="s">
        <v>90</v>
      </c>
      <c r="B176" t="s">
        <v>13</v>
      </c>
      <c r="C176" t="s">
        <v>91</v>
      </c>
      <c r="D176" s="2">
        <v>11.2</v>
      </c>
    </row>
    <row r="177" spans="1:4" hidden="1" x14ac:dyDescent="0.25">
      <c r="A177" t="s">
        <v>90</v>
      </c>
      <c r="B177" t="s">
        <v>13</v>
      </c>
      <c r="C177" t="s">
        <v>91</v>
      </c>
      <c r="D177" s="2">
        <v>7.1</v>
      </c>
    </row>
    <row r="178" spans="1:4" hidden="1" x14ac:dyDescent="0.25">
      <c r="A178" t="s">
        <v>90</v>
      </c>
      <c r="B178" t="s">
        <v>13</v>
      </c>
      <c r="C178" t="s">
        <v>91</v>
      </c>
      <c r="D178" s="2">
        <v>38.799999999999997</v>
      </c>
    </row>
    <row r="179" spans="1:4" hidden="1" x14ac:dyDescent="0.25">
      <c r="A179" t="s">
        <v>90</v>
      </c>
      <c r="B179" t="s">
        <v>13</v>
      </c>
      <c r="C179" t="s">
        <v>11</v>
      </c>
      <c r="D179" s="2">
        <v>4.2</v>
      </c>
    </row>
    <row r="180" spans="1:4" hidden="1" x14ac:dyDescent="0.25">
      <c r="A180" t="s">
        <v>90</v>
      </c>
      <c r="B180" t="s">
        <v>13</v>
      </c>
      <c r="C180" t="s">
        <v>11</v>
      </c>
      <c r="D180" s="2">
        <v>16.100000000000001</v>
      </c>
    </row>
    <row r="181" spans="1:4" hidden="1" x14ac:dyDescent="0.25">
      <c r="A181" t="s">
        <v>90</v>
      </c>
      <c r="B181" t="s">
        <v>13</v>
      </c>
      <c r="C181" t="s">
        <v>11</v>
      </c>
      <c r="D181" s="2">
        <v>9.1</v>
      </c>
    </row>
    <row r="182" spans="1:4" hidden="1" x14ac:dyDescent="0.25">
      <c r="A182" t="s">
        <v>90</v>
      </c>
      <c r="B182" t="s">
        <v>13</v>
      </c>
      <c r="C182" t="s">
        <v>9</v>
      </c>
      <c r="D182" s="2">
        <v>4.5</v>
      </c>
    </row>
    <row r="183" spans="1:4" hidden="1" x14ac:dyDescent="0.25">
      <c r="A183" t="s">
        <v>90</v>
      </c>
      <c r="B183" t="s">
        <v>13</v>
      </c>
      <c r="C183" t="s">
        <v>9</v>
      </c>
      <c r="D183" s="2">
        <v>7.8</v>
      </c>
    </row>
    <row r="184" spans="1:4" hidden="1" x14ac:dyDescent="0.25">
      <c r="A184" t="s">
        <v>90</v>
      </c>
      <c r="B184" t="s">
        <v>13</v>
      </c>
      <c r="C184" t="s">
        <v>9</v>
      </c>
      <c r="D184" s="2">
        <v>37.4</v>
      </c>
    </row>
    <row r="185" spans="1:4" hidden="1" x14ac:dyDescent="0.25">
      <c r="A185" t="s">
        <v>90</v>
      </c>
      <c r="B185" t="s">
        <v>13</v>
      </c>
      <c r="C185" t="s">
        <v>10</v>
      </c>
      <c r="D185" s="2">
        <v>8.9</v>
      </c>
    </row>
    <row r="186" spans="1:4" hidden="1" x14ac:dyDescent="0.25">
      <c r="A186" t="s">
        <v>90</v>
      </c>
      <c r="B186" t="s">
        <v>13</v>
      </c>
      <c r="C186" t="s">
        <v>10</v>
      </c>
      <c r="D186" s="2">
        <v>9.6999999999999993</v>
      </c>
    </row>
    <row r="187" spans="1:4" hidden="1" x14ac:dyDescent="0.25">
      <c r="A187" t="s">
        <v>90</v>
      </c>
      <c r="B187" t="s">
        <v>13</v>
      </c>
      <c r="C187" t="s">
        <v>10</v>
      </c>
      <c r="D187" s="2">
        <v>35.200000000000003</v>
      </c>
    </row>
    <row r="188" spans="1:4" hidden="1" x14ac:dyDescent="0.25">
      <c r="A188" t="s">
        <v>83</v>
      </c>
      <c r="B188" t="s">
        <v>13</v>
      </c>
      <c r="C188" t="s">
        <v>91</v>
      </c>
      <c r="D188" s="2">
        <v>6.4</v>
      </c>
    </row>
    <row r="189" spans="1:4" hidden="1" x14ac:dyDescent="0.25">
      <c r="A189" t="s">
        <v>83</v>
      </c>
      <c r="B189" t="s">
        <v>13</v>
      </c>
      <c r="C189" t="s">
        <v>91</v>
      </c>
      <c r="D189" s="2">
        <v>2</v>
      </c>
    </row>
    <row r="190" spans="1:4" hidden="1" x14ac:dyDescent="0.25">
      <c r="A190" t="s">
        <v>83</v>
      </c>
      <c r="B190" t="s">
        <v>13</v>
      </c>
      <c r="C190" t="s">
        <v>91</v>
      </c>
      <c r="D190" s="2">
        <v>43.2</v>
      </c>
    </row>
    <row r="191" spans="1:4" hidden="1" x14ac:dyDescent="0.25">
      <c r="A191" t="s">
        <v>83</v>
      </c>
      <c r="B191" t="s">
        <v>13</v>
      </c>
      <c r="C191" t="s">
        <v>11</v>
      </c>
      <c r="D191" s="2">
        <v>2.6</v>
      </c>
    </row>
    <row r="192" spans="1:4" hidden="1" x14ac:dyDescent="0.25">
      <c r="A192" t="s">
        <v>83</v>
      </c>
      <c r="B192" t="s">
        <v>13</v>
      </c>
      <c r="C192" t="s">
        <v>11</v>
      </c>
      <c r="D192" s="2">
        <v>18</v>
      </c>
    </row>
    <row r="193" spans="1:4" hidden="1" x14ac:dyDescent="0.25">
      <c r="A193" t="s">
        <v>83</v>
      </c>
      <c r="B193" t="s">
        <v>13</v>
      </c>
      <c r="C193" t="s">
        <v>11</v>
      </c>
      <c r="D193" s="2">
        <v>9</v>
      </c>
    </row>
    <row r="194" spans="1:4" hidden="1" x14ac:dyDescent="0.25">
      <c r="A194" t="s">
        <v>83</v>
      </c>
      <c r="B194" t="s">
        <v>14</v>
      </c>
      <c r="C194" t="s">
        <v>9</v>
      </c>
      <c r="D194" s="2">
        <v>3.9</v>
      </c>
    </row>
    <row r="195" spans="1:4" hidden="1" x14ac:dyDescent="0.25">
      <c r="A195" t="s">
        <v>83</v>
      </c>
      <c r="B195" t="s">
        <v>14</v>
      </c>
      <c r="C195" t="s">
        <v>9</v>
      </c>
      <c r="D195" s="2">
        <v>17.600000000000001</v>
      </c>
    </row>
    <row r="196" spans="1:4" hidden="1" x14ac:dyDescent="0.25">
      <c r="A196" t="s">
        <v>83</v>
      </c>
      <c r="B196" t="s">
        <v>14</v>
      </c>
      <c r="C196" t="s">
        <v>9</v>
      </c>
      <c r="D196" s="2">
        <v>8.8000000000000007</v>
      </c>
    </row>
    <row r="197" spans="1:4" hidden="1" x14ac:dyDescent="0.25">
      <c r="A197" t="s">
        <v>83</v>
      </c>
      <c r="B197" t="s">
        <v>14</v>
      </c>
      <c r="C197" t="s">
        <v>10</v>
      </c>
      <c r="D197" s="2">
        <v>5.6</v>
      </c>
    </row>
    <row r="198" spans="1:4" hidden="1" x14ac:dyDescent="0.25">
      <c r="A198" t="s">
        <v>83</v>
      </c>
      <c r="B198" t="s">
        <v>14</v>
      </c>
      <c r="C198" t="s">
        <v>10</v>
      </c>
      <c r="D198" s="2">
        <v>12.4</v>
      </c>
    </row>
    <row r="199" spans="1:4" hidden="1" x14ac:dyDescent="0.25">
      <c r="A199" t="s">
        <v>83</v>
      </c>
      <c r="B199" t="s">
        <v>14</v>
      </c>
      <c r="C199" t="s">
        <v>10</v>
      </c>
      <c r="D199" s="2">
        <v>3.4</v>
      </c>
    </row>
    <row r="200" spans="1:4" hidden="1" x14ac:dyDescent="0.25">
      <c r="A200" t="s">
        <v>84</v>
      </c>
      <c r="B200" t="s">
        <v>14</v>
      </c>
      <c r="C200" t="s">
        <v>91</v>
      </c>
      <c r="D200" s="2">
        <v>3</v>
      </c>
    </row>
    <row r="201" spans="1:4" hidden="1" x14ac:dyDescent="0.25">
      <c r="A201" t="s">
        <v>84</v>
      </c>
      <c r="B201" t="s">
        <v>14</v>
      </c>
      <c r="C201" t="s">
        <v>91</v>
      </c>
      <c r="D201" s="2">
        <v>3.2</v>
      </c>
    </row>
    <row r="202" spans="1:4" hidden="1" x14ac:dyDescent="0.25">
      <c r="A202" t="s">
        <v>84</v>
      </c>
      <c r="B202" t="s">
        <v>14</v>
      </c>
      <c r="C202" t="s">
        <v>91</v>
      </c>
      <c r="D202" s="2">
        <v>3</v>
      </c>
    </row>
    <row r="203" spans="1:4" hidden="1" x14ac:dyDescent="0.25">
      <c r="A203" t="s">
        <v>84</v>
      </c>
      <c r="B203" t="s">
        <v>14</v>
      </c>
      <c r="C203" t="s">
        <v>11</v>
      </c>
      <c r="D203" s="2">
        <v>4.9000000000000004</v>
      </c>
    </row>
    <row r="204" spans="1:4" hidden="1" x14ac:dyDescent="0.25">
      <c r="A204" t="s">
        <v>84</v>
      </c>
      <c r="B204" t="s">
        <v>14</v>
      </c>
      <c r="C204" t="s">
        <v>11</v>
      </c>
      <c r="D204" s="2">
        <v>3.7</v>
      </c>
    </row>
    <row r="205" spans="1:4" hidden="1" x14ac:dyDescent="0.25">
      <c r="A205" t="s">
        <v>84</v>
      </c>
      <c r="B205" t="s">
        <v>14</v>
      </c>
      <c r="C205" t="s">
        <v>11</v>
      </c>
      <c r="D205" s="2">
        <v>3.4</v>
      </c>
    </row>
    <row r="206" spans="1:4" hidden="1" x14ac:dyDescent="0.25">
      <c r="A206" t="s">
        <v>84</v>
      </c>
      <c r="B206" t="s">
        <v>14</v>
      </c>
      <c r="C206" t="s">
        <v>9</v>
      </c>
      <c r="D206" s="2">
        <v>5</v>
      </c>
    </row>
    <row r="207" spans="1:4" hidden="1" x14ac:dyDescent="0.25">
      <c r="A207" t="s">
        <v>84</v>
      </c>
      <c r="B207" t="s">
        <v>14</v>
      </c>
      <c r="C207" t="s">
        <v>9</v>
      </c>
      <c r="D207" s="2">
        <v>5.3</v>
      </c>
    </row>
    <row r="208" spans="1:4" hidden="1" x14ac:dyDescent="0.25">
      <c r="A208" t="s">
        <v>84</v>
      </c>
      <c r="B208" t="s">
        <v>14</v>
      </c>
      <c r="C208" t="s">
        <v>9</v>
      </c>
      <c r="D208" s="2">
        <v>10.8</v>
      </c>
    </row>
    <row r="209" spans="1:4" hidden="1" x14ac:dyDescent="0.25">
      <c r="A209" t="s">
        <v>84</v>
      </c>
      <c r="B209" t="s">
        <v>14</v>
      </c>
      <c r="C209" t="s">
        <v>10</v>
      </c>
      <c r="D209" s="2">
        <v>5.4</v>
      </c>
    </row>
    <row r="210" spans="1:4" hidden="1" x14ac:dyDescent="0.25">
      <c r="A210" t="s">
        <v>84</v>
      </c>
      <c r="B210" t="s">
        <v>14</v>
      </c>
      <c r="C210" t="s">
        <v>10</v>
      </c>
      <c r="D210" s="2">
        <v>13.5</v>
      </c>
    </row>
    <row r="211" spans="1:4" hidden="1" x14ac:dyDescent="0.25">
      <c r="A211" t="s">
        <v>84</v>
      </c>
      <c r="B211" t="s">
        <v>14</v>
      </c>
      <c r="C211" t="s">
        <v>10</v>
      </c>
      <c r="D211" s="2">
        <v>0.7</v>
      </c>
    </row>
    <row r="212" spans="1:4" hidden="1" x14ac:dyDescent="0.25">
      <c r="A212" t="s">
        <v>85</v>
      </c>
      <c r="B212" t="s">
        <v>14</v>
      </c>
      <c r="C212" t="s">
        <v>91</v>
      </c>
      <c r="D212" s="2">
        <v>2.8</v>
      </c>
    </row>
    <row r="213" spans="1:4" hidden="1" x14ac:dyDescent="0.25">
      <c r="A213" t="s">
        <v>85</v>
      </c>
      <c r="B213" t="s">
        <v>14</v>
      </c>
      <c r="C213" t="s">
        <v>91</v>
      </c>
      <c r="D213" s="2">
        <v>2.8</v>
      </c>
    </row>
    <row r="214" spans="1:4" hidden="1" x14ac:dyDescent="0.25">
      <c r="A214" t="s">
        <v>85</v>
      </c>
      <c r="B214" t="s">
        <v>14</v>
      </c>
      <c r="C214" t="s">
        <v>91</v>
      </c>
      <c r="D214" s="2">
        <v>1.3</v>
      </c>
    </row>
    <row r="215" spans="1:4" hidden="1" x14ac:dyDescent="0.25">
      <c r="A215" t="s">
        <v>85</v>
      </c>
      <c r="B215" t="s">
        <v>14</v>
      </c>
      <c r="C215" t="s">
        <v>11</v>
      </c>
      <c r="D215" s="2">
        <v>4.5</v>
      </c>
    </row>
    <row r="216" spans="1:4" hidden="1" x14ac:dyDescent="0.25">
      <c r="A216" t="s">
        <v>85</v>
      </c>
      <c r="B216" t="s">
        <v>14</v>
      </c>
      <c r="C216" t="s">
        <v>11</v>
      </c>
      <c r="D216" s="2">
        <v>6.7</v>
      </c>
    </row>
    <row r="217" spans="1:4" hidden="1" x14ac:dyDescent="0.25">
      <c r="A217" t="s">
        <v>85</v>
      </c>
      <c r="B217" t="s">
        <v>14</v>
      </c>
      <c r="C217" t="s">
        <v>11</v>
      </c>
      <c r="D217" s="2">
        <v>1.3</v>
      </c>
    </row>
    <row r="218" spans="1:4" hidden="1" x14ac:dyDescent="0.25">
      <c r="A218" t="s">
        <v>85</v>
      </c>
      <c r="B218" t="s">
        <v>14</v>
      </c>
      <c r="C218" t="s">
        <v>9</v>
      </c>
      <c r="D218" s="2">
        <v>1.6</v>
      </c>
    </row>
    <row r="219" spans="1:4" hidden="1" x14ac:dyDescent="0.25">
      <c r="A219" t="s">
        <v>85</v>
      </c>
      <c r="B219" t="s">
        <v>14</v>
      </c>
      <c r="C219" t="s">
        <v>9</v>
      </c>
      <c r="D219" s="2">
        <v>8.5</v>
      </c>
    </row>
    <row r="220" spans="1:4" hidden="1" x14ac:dyDescent="0.25">
      <c r="A220" t="s">
        <v>85</v>
      </c>
      <c r="B220" t="s">
        <v>14</v>
      </c>
      <c r="C220" t="s">
        <v>9</v>
      </c>
      <c r="D220" s="2">
        <v>8.6999999999999993</v>
      </c>
    </row>
    <row r="221" spans="1:4" hidden="1" x14ac:dyDescent="0.25">
      <c r="A221" t="s">
        <v>85</v>
      </c>
      <c r="B221" t="s">
        <v>14</v>
      </c>
      <c r="C221" t="s">
        <v>10</v>
      </c>
      <c r="D221" s="2">
        <v>3.5</v>
      </c>
    </row>
    <row r="222" spans="1:4" hidden="1" x14ac:dyDescent="0.25">
      <c r="A222" t="s">
        <v>85</v>
      </c>
      <c r="B222" t="s">
        <v>14</v>
      </c>
      <c r="C222" t="s">
        <v>10</v>
      </c>
      <c r="D222" s="2">
        <v>7.8</v>
      </c>
    </row>
    <row r="223" spans="1:4" hidden="1" x14ac:dyDescent="0.25">
      <c r="A223" t="s">
        <v>85</v>
      </c>
      <c r="B223" t="s">
        <v>14</v>
      </c>
      <c r="C223" t="s">
        <v>10</v>
      </c>
      <c r="D223" s="2">
        <v>2.9</v>
      </c>
    </row>
    <row r="224" spans="1:4" hidden="1" x14ac:dyDescent="0.25">
      <c r="A224" t="s">
        <v>86</v>
      </c>
      <c r="B224" t="s">
        <v>14</v>
      </c>
      <c r="C224" t="s">
        <v>91</v>
      </c>
      <c r="D224" s="2">
        <v>1.6</v>
      </c>
    </row>
    <row r="225" spans="1:4" hidden="1" x14ac:dyDescent="0.25">
      <c r="A225" t="s">
        <v>86</v>
      </c>
      <c r="B225" t="s">
        <v>14</v>
      </c>
      <c r="C225" t="s">
        <v>91</v>
      </c>
      <c r="D225" s="2">
        <v>2.2000000000000002</v>
      </c>
    </row>
    <row r="226" spans="1:4" hidden="1" x14ac:dyDescent="0.25">
      <c r="A226" t="s">
        <v>86</v>
      </c>
      <c r="B226" t="s">
        <v>14</v>
      </c>
      <c r="C226" t="s">
        <v>91</v>
      </c>
      <c r="D226" s="2">
        <v>2.1</v>
      </c>
    </row>
    <row r="227" spans="1:4" hidden="1" x14ac:dyDescent="0.25">
      <c r="A227" t="s">
        <v>86</v>
      </c>
      <c r="B227" t="s">
        <v>14</v>
      </c>
      <c r="C227" t="s">
        <v>11</v>
      </c>
      <c r="D227" s="2">
        <v>3.8</v>
      </c>
    </row>
    <row r="228" spans="1:4" hidden="1" x14ac:dyDescent="0.25">
      <c r="A228" t="s">
        <v>86</v>
      </c>
      <c r="B228" t="s">
        <v>14</v>
      </c>
      <c r="C228" t="s">
        <v>11</v>
      </c>
      <c r="D228" s="2">
        <v>4.2</v>
      </c>
    </row>
    <row r="229" spans="1:4" hidden="1" x14ac:dyDescent="0.25">
      <c r="A229" t="s">
        <v>86</v>
      </c>
      <c r="B229" t="s">
        <v>14</v>
      </c>
      <c r="C229" t="s">
        <v>11</v>
      </c>
      <c r="D229" s="2">
        <v>0.5</v>
      </c>
    </row>
    <row r="230" spans="1:4" hidden="1" x14ac:dyDescent="0.25">
      <c r="A230" t="s">
        <v>86</v>
      </c>
      <c r="B230" t="s">
        <v>14</v>
      </c>
      <c r="C230" t="s">
        <v>9</v>
      </c>
      <c r="D230" s="2">
        <v>6.2</v>
      </c>
    </row>
    <row r="231" spans="1:4" hidden="1" x14ac:dyDescent="0.25">
      <c r="A231" t="s">
        <v>86</v>
      </c>
      <c r="B231" t="s">
        <v>14</v>
      </c>
      <c r="C231" t="s">
        <v>9</v>
      </c>
      <c r="D231" s="2">
        <v>7.8</v>
      </c>
    </row>
    <row r="232" spans="1:4" hidden="1" x14ac:dyDescent="0.25">
      <c r="A232" t="s">
        <v>86</v>
      </c>
      <c r="B232" t="s">
        <v>14</v>
      </c>
      <c r="C232" t="s">
        <v>9</v>
      </c>
      <c r="D232" s="2">
        <v>11.6</v>
      </c>
    </row>
    <row r="233" spans="1:4" hidden="1" x14ac:dyDescent="0.25">
      <c r="A233" t="s">
        <v>86</v>
      </c>
      <c r="B233" t="s">
        <v>14</v>
      </c>
      <c r="C233" t="s">
        <v>10</v>
      </c>
      <c r="D233" s="2">
        <v>2.7</v>
      </c>
    </row>
    <row r="234" spans="1:4" hidden="1" x14ac:dyDescent="0.25">
      <c r="A234" t="s">
        <v>86</v>
      </c>
      <c r="B234" t="s">
        <v>14</v>
      </c>
      <c r="C234" t="s">
        <v>10</v>
      </c>
      <c r="D234" s="2">
        <v>9.5</v>
      </c>
    </row>
    <row r="235" spans="1:4" hidden="1" x14ac:dyDescent="0.25">
      <c r="A235" t="s">
        <v>86</v>
      </c>
      <c r="B235" t="s">
        <v>14</v>
      </c>
      <c r="C235" t="s">
        <v>10</v>
      </c>
      <c r="D235" s="2">
        <v>4.9000000000000004</v>
      </c>
    </row>
    <row r="236" spans="1:4" hidden="1" x14ac:dyDescent="0.25">
      <c r="A236" t="s">
        <v>87</v>
      </c>
      <c r="B236" t="s">
        <v>14</v>
      </c>
      <c r="C236" t="s">
        <v>91</v>
      </c>
      <c r="D236" s="2">
        <v>3.3</v>
      </c>
    </row>
    <row r="237" spans="1:4" hidden="1" x14ac:dyDescent="0.25">
      <c r="A237" t="s">
        <v>87</v>
      </c>
      <c r="B237" t="s">
        <v>14</v>
      </c>
      <c r="C237" t="s">
        <v>91</v>
      </c>
      <c r="D237" s="2">
        <v>1.8</v>
      </c>
    </row>
    <row r="238" spans="1:4" hidden="1" x14ac:dyDescent="0.25">
      <c r="A238" t="s">
        <v>87</v>
      </c>
      <c r="B238" t="s">
        <v>14</v>
      </c>
      <c r="C238" t="s">
        <v>91</v>
      </c>
      <c r="D238" s="2">
        <v>1.9</v>
      </c>
    </row>
    <row r="239" spans="1:4" hidden="1" x14ac:dyDescent="0.25">
      <c r="A239" t="s">
        <v>87</v>
      </c>
      <c r="B239" t="s">
        <v>14</v>
      </c>
      <c r="C239" t="s">
        <v>11</v>
      </c>
      <c r="D239" s="2">
        <v>4.2</v>
      </c>
    </row>
    <row r="240" spans="1:4" hidden="1" x14ac:dyDescent="0.25">
      <c r="A240" t="s">
        <v>87</v>
      </c>
      <c r="B240" t="s">
        <v>14</v>
      </c>
      <c r="C240" t="s">
        <v>11</v>
      </c>
      <c r="D240" s="2">
        <v>0.9</v>
      </c>
    </row>
    <row r="241" spans="1:4" hidden="1" x14ac:dyDescent="0.25">
      <c r="A241" t="s">
        <v>87</v>
      </c>
      <c r="B241" t="s">
        <v>14</v>
      </c>
      <c r="C241" t="s">
        <v>11</v>
      </c>
      <c r="D241" s="2">
        <v>1.2</v>
      </c>
    </row>
    <row r="242" spans="1:4" hidden="1" x14ac:dyDescent="0.25">
      <c r="A242" t="s">
        <v>87</v>
      </c>
      <c r="B242" t="s">
        <v>14</v>
      </c>
      <c r="C242" t="s">
        <v>9</v>
      </c>
      <c r="D242" s="2">
        <v>4.2</v>
      </c>
    </row>
    <row r="243" spans="1:4" hidden="1" x14ac:dyDescent="0.25">
      <c r="A243" t="s">
        <v>87</v>
      </c>
      <c r="B243" t="s">
        <v>14</v>
      </c>
      <c r="C243" t="s">
        <v>9</v>
      </c>
      <c r="D243" s="2">
        <v>7.8</v>
      </c>
    </row>
    <row r="244" spans="1:4" hidden="1" x14ac:dyDescent="0.25">
      <c r="A244" t="s">
        <v>87</v>
      </c>
      <c r="B244" t="s">
        <v>14</v>
      </c>
      <c r="C244" t="s">
        <v>9</v>
      </c>
      <c r="D244" s="2">
        <v>5</v>
      </c>
    </row>
    <row r="245" spans="1:4" hidden="1" x14ac:dyDescent="0.25">
      <c r="A245" t="s">
        <v>87</v>
      </c>
      <c r="B245" t="s">
        <v>14</v>
      </c>
      <c r="C245" t="s">
        <v>10</v>
      </c>
      <c r="D245" s="2">
        <v>7.5</v>
      </c>
    </row>
    <row r="246" spans="1:4" hidden="1" x14ac:dyDescent="0.25">
      <c r="A246" t="s">
        <v>87</v>
      </c>
      <c r="B246" t="s">
        <v>14</v>
      </c>
      <c r="C246" t="s">
        <v>10</v>
      </c>
      <c r="D246" s="2">
        <v>10.7</v>
      </c>
    </row>
    <row r="247" spans="1:4" hidden="1" x14ac:dyDescent="0.25">
      <c r="A247" t="s">
        <v>87</v>
      </c>
      <c r="B247" t="s">
        <v>14</v>
      </c>
      <c r="C247" t="s">
        <v>10</v>
      </c>
      <c r="D247" s="2">
        <v>7.2</v>
      </c>
    </row>
    <row r="248" spans="1:4" hidden="1" x14ac:dyDescent="0.25">
      <c r="A248" t="s">
        <v>88</v>
      </c>
      <c r="B248" t="s">
        <v>14</v>
      </c>
      <c r="C248" t="s">
        <v>91</v>
      </c>
      <c r="D248" s="2">
        <v>4.7</v>
      </c>
    </row>
    <row r="249" spans="1:4" hidden="1" x14ac:dyDescent="0.25">
      <c r="A249" t="s">
        <v>88</v>
      </c>
      <c r="B249" t="s">
        <v>14</v>
      </c>
      <c r="C249" t="s">
        <v>91</v>
      </c>
      <c r="D249" s="2">
        <v>3</v>
      </c>
    </row>
    <row r="250" spans="1:4" hidden="1" x14ac:dyDescent="0.25">
      <c r="A250" t="s">
        <v>88</v>
      </c>
      <c r="B250" t="s">
        <v>14</v>
      </c>
      <c r="C250" t="s">
        <v>91</v>
      </c>
      <c r="D250" s="2">
        <v>3.3</v>
      </c>
    </row>
    <row r="251" spans="1:4" hidden="1" x14ac:dyDescent="0.25">
      <c r="A251" t="s">
        <v>88</v>
      </c>
      <c r="B251" t="s">
        <v>14</v>
      </c>
      <c r="C251" t="s">
        <v>11</v>
      </c>
      <c r="D251" s="2">
        <v>4.2</v>
      </c>
    </row>
    <row r="252" spans="1:4" hidden="1" x14ac:dyDescent="0.25">
      <c r="A252" t="s">
        <v>88</v>
      </c>
      <c r="B252" t="s">
        <v>14</v>
      </c>
      <c r="C252" t="s">
        <v>11</v>
      </c>
      <c r="D252" s="2">
        <v>1.8</v>
      </c>
    </row>
    <row r="253" spans="1:4" hidden="1" x14ac:dyDescent="0.25">
      <c r="A253" t="s">
        <v>88</v>
      </c>
      <c r="B253" t="s">
        <v>14</v>
      </c>
      <c r="C253" t="s">
        <v>11</v>
      </c>
      <c r="D253" s="2">
        <v>0.3</v>
      </c>
    </row>
    <row r="254" spans="1:4" hidden="1" x14ac:dyDescent="0.25">
      <c r="A254" t="s">
        <v>88</v>
      </c>
      <c r="B254" t="s">
        <v>14</v>
      </c>
      <c r="C254" t="s">
        <v>9</v>
      </c>
      <c r="D254" s="2">
        <v>3</v>
      </c>
    </row>
    <row r="255" spans="1:4" hidden="1" x14ac:dyDescent="0.25">
      <c r="A255" t="s">
        <v>88</v>
      </c>
      <c r="B255" t="s">
        <v>14</v>
      </c>
      <c r="C255" t="s">
        <v>9</v>
      </c>
      <c r="D255" s="2">
        <v>11</v>
      </c>
    </row>
    <row r="256" spans="1:4" hidden="1" x14ac:dyDescent="0.25">
      <c r="A256" t="s">
        <v>88</v>
      </c>
      <c r="B256" t="s">
        <v>14</v>
      </c>
      <c r="C256" t="s">
        <v>9</v>
      </c>
      <c r="D256" s="2">
        <v>3.3</v>
      </c>
    </row>
    <row r="257" spans="1:4" hidden="1" x14ac:dyDescent="0.25">
      <c r="A257" t="s">
        <v>88</v>
      </c>
      <c r="B257" t="s">
        <v>14</v>
      </c>
      <c r="C257" t="s">
        <v>10</v>
      </c>
      <c r="D257" s="2">
        <v>7</v>
      </c>
    </row>
    <row r="258" spans="1:4" hidden="1" x14ac:dyDescent="0.25">
      <c r="A258" t="s">
        <v>88</v>
      </c>
      <c r="B258" t="s">
        <v>14</v>
      </c>
      <c r="C258" t="s">
        <v>10</v>
      </c>
      <c r="D258" s="2">
        <v>10.7</v>
      </c>
    </row>
    <row r="259" spans="1:4" hidden="1" x14ac:dyDescent="0.25">
      <c r="A259" t="s">
        <v>88</v>
      </c>
      <c r="B259" t="s">
        <v>14</v>
      </c>
      <c r="C259" t="s">
        <v>10</v>
      </c>
      <c r="D259" s="2">
        <v>7.2</v>
      </c>
    </row>
    <row r="260" spans="1:4" hidden="1" x14ac:dyDescent="0.25">
      <c r="A260" t="s">
        <v>89</v>
      </c>
      <c r="B260" t="s">
        <v>14</v>
      </c>
      <c r="C260" t="s">
        <v>91</v>
      </c>
      <c r="D260" s="2">
        <v>3.3</v>
      </c>
    </row>
    <row r="261" spans="1:4" hidden="1" x14ac:dyDescent="0.25">
      <c r="A261" t="s">
        <v>89</v>
      </c>
      <c r="B261" t="s">
        <v>14</v>
      </c>
      <c r="C261" t="s">
        <v>91</v>
      </c>
      <c r="D261" s="2">
        <v>3</v>
      </c>
    </row>
    <row r="262" spans="1:4" hidden="1" x14ac:dyDescent="0.25">
      <c r="A262" t="s">
        <v>89</v>
      </c>
      <c r="B262" t="s">
        <v>14</v>
      </c>
      <c r="C262" t="s">
        <v>91</v>
      </c>
      <c r="D262" s="2">
        <v>12.2</v>
      </c>
    </row>
    <row r="263" spans="1:4" hidden="1" x14ac:dyDescent="0.25">
      <c r="A263" t="s">
        <v>89</v>
      </c>
      <c r="B263" t="s">
        <v>14</v>
      </c>
      <c r="C263" t="s">
        <v>11</v>
      </c>
      <c r="D263" s="2">
        <v>7.4</v>
      </c>
    </row>
    <row r="264" spans="1:4" hidden="1" x14ac:dyDescent="0.25">
      <c r="A264" t="s">
        <v>89</v>
      </c>
      <c r="B264" t="s">
        <v>14</v>
      </c>
      <c r="C264" t="s">
        <v>11</v>
      </c>
      <c r="D264" s="2">
        <v>0.3</v>
      </c>
    </row>
    <row r="265" spans="1:4" hidden="1" x14ac:dyDescent="0.25">
      <c r="A265" t="s">
        <v>89</v>
      </c>
      <c r="B265" t="s">
        <v>14</v>
      </c>
      <c r="C265" t="s">
        <v>11</v>
      </c>
      <c r="D265" s="2">
        <v>1.4</v>
      </c>
    </row>
    <row r="266" spans="1:4" hidden="1" x14ac:dyDescent="0.25">
      <c r="A266" t="s">
        <v>89</v>
      </c>
      <c r="B266" t="s">
        <v>14</v>
      </c>
      <c r="C266" t="s">
        <v>9</v>
      </c>
      <c r="D266" s="2">
        <v>3.9</v>
      </c>
    </row>
    <row r="267" spans="1:4" hidden="1" x14ac:dyDescent="0.25">
      <c r="A267" t="s">
        <v>89</v>
      </c>
      <c r="B267" t="s">
        <v>14</v>
      </c>
      <c r="C267" t="s">
        <v>9</v>
      </c>
      <c r="D267" s="2">
        <v>9.1999999999999993</v>
      </c>
    </row>
    <row r="268" spans="1:4" hidden="1" x14ac:dyDescent="0.25">
      <c r="A268" t="s">
        <v>89</v>
      </c>
      <c r="B268" t="s">
        <v>14</v>
      </c>
      <c r="C268" t="s">
        <v>9</v>
      </c>
      <c r="D268" s="2">
        <v>4.2</v>
      </c>
    </row>
    <row r="269" spans="1:4" hidden="1" x14ac:dyDescent="0.25">
      <c r="A269" t="s">
        <v>89</v>
      </c>
      <c r="B269" t="s">
        <v>14</v>
      </c>
      <c r="C269" t="s">
        <v>10</v>
      </c>
      <c r="D269" s="2">
        <v>7</v>
      </c>
    </row>
    <row r="270" spans="1:4" hidden="1" x14ac:dyDescent="0.25">
      <c r="A270" t="s">
        <v>89</v>
      </c>
      <c r="B270" t="s">
        <v>14</v>
      </c>
      <c r="C270" t="s">
        <v>10</v>
      </c>
      <c r="D270" s="2">
        <v>14.1</v>
      </c>
    </row>
    <row r="271" spans="1:4" hidden="1" x14ac:dyDescent="0.25">
      <c r="A271" t="s">
        <v>90</v>
      </c>
      <c r="B271" t="s">
        <v>14</v>
      </c>
      <c r="C271" t="s">
        <v>10</v>
      </c>
      <c r="D271" s="2">
        <v>9.9</v>
      </c>
    </row>
    <row r="272" spans="1:4" hidden="1" x14ac:dyDescent="0.25">
      <c r="A272" t="s">
        <v>90</v>
      </c>
      <c r="B272" t="s">
        <v>14</v>
      </c>
      <c r="C272" t="s">
        <v>91</v>
      </c>
      <c r="D272" s="2">
        <v>6.1</v>
      </c>
    </row>
    <row r="273" spans="1:4" hidden="1" x14ac:dyDescent="0.25">
      <c r="A273" t="s">
        <v>90</v>
      </c>
      <c r="B273" t="s">
        <v>14</v>
      </c>
      <c r="C273" t="s">
        <v>91</v>
      </c>
      <c r="D273" s="2">
        <v>6.3</v>
      </c>
    </row>
    <row r="274" spans="1:4" hidden="1" x14ac:dyDescent="0.25">
      <c r="A274" t="s">
        <v>90</v>
      </c>
      <c r="B274" t="s">
        <v>14</v>
      </c>
      <c r="C274" t="s">
        <v>91</v>
      </c>
      <c r="D274" s="2">
        <v>11.4</v>
      </c>
    </row>
    <row r="275" spans="1:4" hidden="1" x14ac:dyDescent="0.25">
      <c r="A275" t="s">
        <v>90</v>
      </c>
      <c r="B275" t="s">
        <v>14</v>
      </c>
      <c r="C275" t="s">
        <v>11</v>
      </c>
      <c r="D275" s="2">
        <v>7.6</v>
      </c>
    </row>
    <row r="276" spans="1:4" hidden="1" x14ac:dyDescent="0.25">
      <c r="A276" t="s">
        <v>90</v>
      </c>
      <c r="B276" t="s">
        <v>14</v>
      </c>
      <c r="C276" t="s">
        <v>11</v>
      </c>
      <c r="D276" s="2">
        <v>1.3</v>
      </c>
    </row>
    <row r="277" spans="1:4" hidden="1" x14ac:dyDescent="0.25">
      <c r="A277" t="s">
        <v>90</v>
      </c>
      <c r="B277" t="s">
        <v>14</v>
      </c>
      <c r="C277" t="s">
        <v>11</v>
      </c>
      <c r="D277" s="2">
        <v>4.8</v>
      </c>
    </row>
    <row r="278" spans="1:4" hidden="1" x14ac:dyDescent="0.25">
      <c r="A278" t="s">
        <v>90</v>
      </c>
      <c r="B278" t="s">
        <v>14</v>
      </c>
      <c r="C278" t="s">
        <v>9</v>
      </c>
      <c r="D278" s="2">
        <v>4.2</v>
      </c>
    </row>
    <row r="279" spans="1:4" hidden="1" x14ac:dyDescent="0.25">
      <c r="A279" t="s">
        <v>90</v>
      </c>
      <c r="B279" t="s">
        <v>14</v>
      </c>
      <c r="C279" t="s">
        <v>9</v>
      </c>
      <c r="D279" s="2">
        <v>7.2</v>
      </c>
    </row>
    <row r="280" spans="1:4" hidden="1" x14ac:dyDescent="0.25">
      <c r="A280" t="s">
        <v>90</v>
      </c>
      <c r="B280" t="s">
        <v>14</v>
      </c>
      <c r="C280" t="s">
        <v>9</v>
      </c>
      <c r="D280" s="2">
        <v>0.7</v>
      </c>
    </row>
    <row r="281" spans="1:4" hidden="1" x14ac:dyDescent="0.25">
      <c r="A281" t="s">
        <v>90</v>
      </c>
      <c r="B281" t="s">
        <v>14</v>
      </c>
      <c r="C281" t="s">
        <v>10</v>
      </c>
      <c r="D281" s="2">
        <v>7.2</v>
      </c>
    </row>
    <row r="282" spans="1:4" hidden="1" x14ac:dyDescent="0.25">
      <c r="A282" t="s">
        <v>90</v>
      </c>
      <c r="B282" t="s">
        <v>14</v>
      </c>
      <c r="C282" t="s">
        <v>10</v>
      </c>
      <c r="D282" s="2">
        <v>11.2</v>
      </c>
    </row>
    <row r="283" spans="1:4" hidden="1" x14ac:dyDescent="0.25">
      <c r="A283" t="s">
        <v>90</v>
      </c>
      <c r="B283" t="s">
        <v>14</v>
      </c>
      <c r="C283" t="s">
        <v>10</v>
      </c>
      <c r="D283" s="2">
        <v>8.8000000000000007</v>
      </c>
    </row>
    <row r="284" spans="1:4" hidden="1" x14ac:dyDescent="0.25">
      <c r="B284" t="s">
        <v>14</v>
      </c>
      <c r="C284" t="s">
        <v>91</v>
      </c>
    </row>
    <row r="285" spans="1:4" hidden="1" x14ac:dyDescent="0.25">
      <c r="B285" t="s">
        <v>14</v>
      </c>
      <c r="C285" t="s">
        <v>91</v>
      </c>
    </row>
    <row r="286" spans="1:4" hidden="1" x14ac:dyDescent="0.25">
      <c r="B286" t="s">
        <v>14</v>
      </c>
      <c r="C286" t="s">
        <v>91</v>
      </c>
    </row>
    <row r="287" spans="1:4" hidden="1" x14ac:dyDescent="0.25">
      <c r="B287" t="s">
        <v>14</v>
      </c>
      <c r="C287" t="s">
        <v>11</v>
      </c>
    </row>
    <row r="288" spans="1:4" hidden="1" x14ac:dyDescent="0.25">
      <c r="B288" t="s">
        <v>14</v>
      </c>
      <c r="C288" t="s">
        <v>11</v>
      </c>
    </row>
    <row r="289" spans="2:3" hidden="1" x14ac:dyDescent="0.25">
      <c r="B289" t="s">
        <v>14</v>
      </c>
      <c r="C289" t="s">
        <v>11</v>
      </c>
    </row>
  </sheetData>
  <autoFilter ref="A1:C289" xr:uid="{8835F987-816A-4D34-98FA-0CAC34461A91}">
    <filterColumn colId="0">
      <filters>
        <filter val="0.10-0.15"/>
        <filter val="0.15-0.20"/>
      </filters>
    </filterColumn>
    <filterColumn colId="1">
      <filters>
        <filter val="CC"/>
      </filters>
    </filterColumn>
  </autoFilter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48785-5A5E-4386-99AC-AE6CDF7F368F}">
  <dimension ref="A1:AS118"/>
  <sheetViews>
    <sheetView workbookViewId="0">
      <selection activeCell="I2" sqref="I2:I118"/>
    </sheetView>
  </sheetViews>
  <sheetFormatPr defaultRowHeight="15" x14ac:dyDescent="0.25"/>
  <cols>
    <col min="1" max="1" width="13.7109375" bestFit="1" customWidth="1"/>
    <col min="2" max="2" width="18" customWidth="1"/>
    <col min="3" max="3" width="12" bestFit="1" customWidth="1"/>
    <col min="4" max="4" width="13.140625" bestFit="1" customWidth="1"/>
    <col min="5" max="5" width="11.7109375" bestFit="1" customWidth="1"/>
    <col min="6" max="6" width="23" customWidth="1"/>
    <col min="7" max="7" width="10.7109375" bestFit="1" customWidth="1"/>
    <col min="8" max="8" width="11.5703125" bestFit="1" customWidth="1"/>
    <col min="9" max="9" width="10.140625" customWidth="1"/>
    <col min="10" max="10" width="12" bestFit="1" customWidth="1"/>
    <col min="11" max="11" width="17.7109375" bestFit="1" customWidth="1"/>
    <col min="12" max="13" width="12" bestFit="1" customWidth="1"/>
    <col min="14" max="14" width="21.85546875" bestFit="1" customWidth="1"/>
    <col min="15" max="15" width="23.28515625" bestFit="1" customWidth="1"/>
    <col min="16" max="16" width="9.7109375" customWidth="1"/>
    <col min="17" max="17" width="13.85546875" bestFit="1" customWidth="1"/>
    <col min="18" max="18" width="17.85546875" bestFit="1" customWidth="1"/>
    <col min="19" max="19" width="21.85546875" bestFit="1" customWidth="1"/>
    <col min="20" max="20" width="6.5703125" bestFit="1" customWidth="1"/>
    <col min="21" max="21" width="8.5703125" bestFit="1" customWidth="1"/>
    <col min="22" max="22" width="49.85546875" customWidth="1"/>
    <col min="23" max="23" width="48.42578125" bestFit="1" customWidth="1"/>
    <col min="24" max="24" width="48.7109375" bestFit="1" customWidth="1"/>
    <col min="25" max="25" width="53.5703125" bestFit="1" customWidth="1"/>
    <col min="26" max="26" width="48.140625" bestFit="1" customWidth="1"/>
    <col min="27" max="27" width="53.140625" bestFit="1" customWidth="1"/>
    <col min="28" max="28" width="55.5703125" bestFit="1" customWidth="1"/>
    <col min="29" max="29" width="55" bestFit="1" customWidth="1"/>
    <col min="30" max="30" width="54.5703125" bestFit="1" customWidth="1"/>
    <col min="31" max="31" width="54.140625" bestFit="1" customWidth="1"/>
    <col min="32" max="32" width="50.42578125" bestFit="1" customWidth="1"/>
    <col min="33" max="33" width="58" bestFit="1" customWidth="1"/>
    <col min="34" max="34" width="61.28515625" bestFit="1" customWidth="1"/>
    <col min="35" max="35" width="53.85546875" bestFit="1" customWidth="1"/>
    <col min="36" max="36" width="61.28515625" bestFit="1" customWidth="1"/>
    <col min="37" max="37" width="64.7109375" bestFit="1" customWidth="1"/>
    <col min="38" max="42" width="0" hidden="1" customWidth="1"/>
    <col min="43" max="43" width="49.7109375" bestFit="1" customWidth="1"/>
    <col min="44" max="44" width="36.28515625" bestFit="1" customWidth="1"/>
    <col min="45" max="45" width="35.42578125" bestFit="1" customWidth="1"/>
  </cols>
  <sheetData>
    <row r="1" spans="1:45" x14ac:dyDescent="0.25">
      <c r="A1" t="s">
        <v>0</v>
      </c>
      <c r="B1" t="s">
        <v>23</v>
      </c>
      <c r="C1" t="s">
        <v>1</v>
      </c>
      <c r="D1" t="s">
        <v>24</v>
      </c>
      <c r="E1" t="s">
        <v>2</v>
      </c>
      <c r="F1" t="s">
        <v>25</v>
      </c>
      <c r="G1" t="s">
        <v>3</v>
      </c>
      <c r="H1" t="s">
        <v>4</v>
      </c>
      <c r="I1" t="s">
        <v>8</v>
      </c>
      <c r="J1" t="s">
        <v>26</v>
      </c>
      <c r="K1" t="s">
        <v>27</v>
      </c>
      <c r="L1" t="s">
        <v>28</v>
      </c>
      <c r="M1" t="s">
        <v>29</v>
      </c>
      <c r="N1" t="s">
        <v>5</v>
      </c>
      <c r="O1" t="s">
        <v>30</v>
      </c>
      <c r="P1" t="s">
        <v>31</v>
      </c>
      <c r="Q1" t="s">
        <v>32</v>
      </c>
      <c r="R1" t="s">
        <v>33</v>
      </c>
      <c r="S1" t="s">
        <v>6</v>
      </c>
      <c r="T1" t="s">
        <v>34</v>
      </c>
      <c r="U1" t="s">
        <v>7</v>
      </c>
      <c r="V1" t="s">
        <v>35</v>
      </c>
      <c r="W1" t="s">
        <v>36</v>
      </c>
      <c r="X1" t="s">
        <v>37</v>
      </c>
      <c r="Y1" t="s">
        <v>38</v>
      </c>
      <c r="Z1" t="s">
        <v>39</v>
      </c>
      <c r="AA1" t="s">
        <v>40</v>
      </c>
      <c r="AB1" t="s">
        <v>41</v>
      </c>
      <c r="AC1" t="s">
        <v>42</v>
      </c>
      <c r="AD1" t="s">
        <v>43</v>
      </c>
      <c r="AE1" t="s">
        <v>44</v>
      </c>
      <c r="AF1" t="s">
        <v>45</v>
      </c>
      <c r="AG1" t="s">
        <v>46</v>
      </c>
      <c r="AH1" t="s">
        <v>47</v>
      </c>
      <c r="AI1" t="s">
        <v>48</v>
      </c>
      <c r="AJ1" t="s">
        <v>49</v>
      </c>
      <c r="AK1" t="s">
        <v>50</v>
      </c>
      <c r="AL1" t="s">
        <v>51</v>
      </c>
      <c r="AM1" t="s">
        <v>52</v>
      </c>
      <c r="AN1" t="s">
        <v>53</v>
      </c>
      <c r="AO1" t="s">
        <v>54</v>
      </c>
      <c r="AP1" t="s">
        <v>55</v>
      </c>
      <c r="AQ1" t="s">
        <v>56</v>
      </c>
      <c r="AR1" t="s">
        <v>57</v>
      </c>
      <c r="AS1" t="s">
        <v>58</v>
      </c>
    </row>
    <row r="2" spans="1:45" x14ac:dyDescent="0.25">
      <c r="A2" t="s">
        <v>59</v>
      </c>
      <c r="B2" s="3">
        <v>-0.53177180554331926</v>
      </c>
      <c r="C2" s="3">
        <v>-0.50875179241061508</v>
      </c>
      <c r="D2" s="3">
        <v>-0.66337559197794871</v>
      </c>
      <c r="E2" s="3">
        <v>-0.75061518353947543</v>
      </c>
      <c r="F2" s="3">
        <v>0.43235188805333757</v>
      </c>
      <c r="G2" s="3">
        <v>-1.0840169033355693</v>
      </c>
      <c r="H2" s="3">
        <v>-0.8348258248097753</v>
      </c>
      <c r="I2" s="2">
        <f>(G2+H2)/2</f>
        <v>-0.95942136407267231</v>
      </c>
      <c r="J2" s="2">
        <v>-0.56389897621771456</v>
      </c>
      <c r="K2" s="2">
        <f>(H2+J2)/2</f>
        <v>-0.69936240051374488</v>
      </c>
      <c r="L2" s="2">
        <v>-0.40295059630830837</v>
      </c>
      <c r="M2" s="2">
        <v>7.5691565253624929E-2</v>
      </c>
      <c r="N2" s="2">
        <v>-0.12114797485635911</v>
      </c>
      <c r="O2" s="2">
        <v>-0.14981089999696673</v>
      </c>
      <c r="P2" s="2">
        <v>0.48792814106844151</v>
      </c>
      <c r="Q2" s="2">
        <v>0.48792814106844012</v>
      </c>
      <c r="R2" s="2">
        <v>0.47972053696978156</v>
      </c>
      <c r="S2" s="2">
        <f>(Q2*N2*10)/10</f>
        <v>-5.911150616586943E-2</v>
      </c>
      <c r="T2" s="2">
        <v>0.8487780743173613</v>
      </c>
      <c r="U2" s="2">
        <v>0.35454616252119497</v>
      </c>
      <c r="V2" s="2">
        <v>1.88</v>
      </c>
      <c r="W2" s="2">
        <v>1.8</v>
      </c>
      <c r="X2" s="2">
        <v>50.2</v>
      </c>
      <c r="Y2" s="2">
        <v>18.8</v>
      </c>
      <c r="Z2" s="2">
        <v>50.4</v>
      </c>
      <c r="AA2" s="2">
        <v>18.399999999999999</v>
      </c>
      <c r="AB2" s="2">
        <v>87</v>
      </c>
      <c r="AC2" s="2">
        <v>95</v>
      </c>
      <c r="AD2" s="2">
        <v>14500</v>
      </c>
      <c r="AE2" s="2">
        <v>15833.333333333334</v>
      </c>
      <c r="AF2" s="2">
        <v>89</v>
      </c>
      <c r="AG2" s="2">
        <v>38</v>
      </c>
      <c r="AH2" s="2">
        <v>8.8000000000000007</v>
      </c>
      <c r="AI2" s="2">
        <v>14833.333333333334</v>
      </c>
      <c r="AJ2" s="2">
        <v>6333.333333333333</v>
      </c>
      <c r="AK2" s="2">
        <v>1466.6666666666667</v>
      </c>
      <c r="AL2" s="2">
        <v>91</v>
      </c>
      <c r="AM2" s="2">
        <v>45</v>
      </c>
      <c r="AN2" s="2">
        <v>6.8</v>
      </c>
      <c r="AO2" s="2">
        <v>15166.666666666666</v>
      </c>
      <c r="AP2" s="2">
        <v>7500</v>
      </c>
      <c r="AQ2" s="2">
        <v>1133.3333333333333</v>
      </c>
      <c r="AR2" s="2">
        <v>6333.333333333333</v>
      </c>
      <c r="AS2" s="2">
        <v>7500</v>
      </c>
    </row>
    <row r="3" spans="1:45" x14ac:dyDescent="0.25">
      <c r="A3" t="s">
        <v>59</v>
      </c>
      <c r="B3" s="3">
        <v>-0.43117532126385105</v>
      </c>
      <c r="C3" s="3">
        <v>-0.64695186165921492</v>
      </c>
      <c r="D3" s="3">
        <v>-0.45080605224651332</v>
      </c>
      <c r="E3" s="3">
        <v>-0.94659285188198328</v>
      </c>
      <c r="F3" s="3">
        <v>0.57891291662290789</v>
      </c>
      <c r="G3" s="3">
        <v>-1.0840169033355693</v>
      </c>
      <c r="H3" s="3">
        <v>-0.8348258248097753</v>
      </c>
      <c r="I3" s="2">
        <f t="shared" ref="I3:I66" si="0">(G3+H3)/2</f>
        <v>-0.95942136407267231</v>
      </c>
      <c r="J3" s="2">
        <v>-0.56389897621771456</v>
      </c>
      <c r="K3" s="2">
        <f t="shared" ref="K3:K66" si="1">(H3+J3)/2</f>
        <v>-0.69936240051374488</v>
      </c>
      <c r="L3" s="2">
        <v>-0.40295059630830837</v>
      </c>
      <c r="M3" s="2">
        <v>7.5691565253624929E-2</v>
      </c>
      <c r="N3" s="2">
        <v>-2.378997692572183E-2</v>
      </c>
      <c r="O3" s="2">
        <v>-0.29145674904279312</v>
      </c>
      <c r="P3" s="2">
        <v>0.48792814106844151</v>
      </c>
      <c r="Q3" s="2">
        <v>0.48792814106844012</v>
      </c>
      <c r="R3" s="2">
        <v>0.47972053696978156</v>
      </c>
      <c r="S3" s="2">
        <v>4.4566796201667161E-2</v>
      </c>
      <c r="T3" s="2">
        <v>0.8487780743173613</v>
      </c>
      <c r="U3" s="2">
        <v>0.35454616252119453</v>
      </c>
      <c r="V3" s="2">
        <v>1.7</v>
      </c>
      <c r="W3" s="2">
        <v>2.1</v>
      </c>
      <c r="X3" s="2">
        <v>50.2</v>
      </c>
      <c r="Y3" s="2">
        <v>18.8</v>
      </c>
      <c r="Z3" s="2">
        <v>50.4</v>
      </c>
      <c r="AA3" s="2">
        <v>18.399999999999999</v>
      </c>
      <c r="AB3" s="2">
        <v>87</v>
      </c>
      <c r="AC3" s="2">
        <v>95</v>
      </c>
      <c r="AD3" s="2">
        <v>14500</v>
      </c>
      <c r="AE3" s="2">
        <v>15833.333333333334</v>
      </c>
      <c r="AF3" s="2">
        <v>89</v>
      </c>
      <c r="AG3" s="2">
        <v>38</v>
      </c>
      <c r="AH3" s="2">
        <v>8.8000000000000007</v>
      </c>
      <c r="AI3" s="2">
        <v>14833.333333333334</v>
      </c>
      <c r="AJ3" s="2">
        <v>6333.333333333333</v>
      </c>
      <c r="AK3" s="2">
        <v>1466.6666666666667</v>
      </c>
      <c r="AL3" s="2">
        <v>91</v>
      </c>
      <c r="AM3" s="2">
        <v>45</v>
      </c>
      <c r="AN3" s="2">
        <v>6.8</v>
      </c>
      <c r="AO3" s="2">
        <v>15166.666666666666</v>
      </c>
      <c r="AP3" s="2">
        <v>7500</v>
      </c>
      <c r="AQ3" s="2">
        <v>1133.3333333333333</v>
      </c>
      <c r="AR3" s="2">
        <v>6333.333333333333</v>
      </c>
      <c r="AS3" s="2">
        <v>7500</v>
      </c>
    </row>
    <row r="4" spans="1:45" x14ac:dyDescent="0.25">
      <c r="A4" t="s">
        <v>59</v>
      </c>
      <c r="B4" s="3">
        <v>-0.62314437088231933</v>
      </c>
      <c r="C4" s="3">
        <v>-0.62966421810231699</v>
      </c>
      <c r="D4" s="3">
        <v>-0.78280477922173597</v>
      </c>
      <c r="E4" s="3">
        <v>-1.0085651234574193</v>
      </c>
      <c r="F4" s="3">
        <v>0.57089586674323156</v>
      </c>
      <c r="G4" s="3">
        <v>-1.0840169033355693</v>
      </c>
      <c r="H4" s="3">
        <v>-0.8348258248097753</v>
      </c>
      <c r="I4" s="2">
        <f t="shared" si="0"/>
        <v>-0.95942136407267231</v>
      </c>
      <c r="J4" s="2">
        <v>-0.56389897621771456</v>
      </c>
      <c r="K4" s="2">
        <f t="shared" si="1"/>
        <v>-0.69936240051374488</v>
      </c>
      <c r="L4" s="2">
        <v>-0.40295059630830837</v>
      </c>
      <c r="M4" s="2">
        <v>7.5691565253624929E-2</v>
      </c>
      <c r="N4" s="2">
        <v>-0.26569984974998445</v>
      </c>
      <c r="O4" s="2">
        <v>-0.2303484734588637</v>
      </c>
      <c r="P4" s="2">
        <v>0.48792814106844151</v>
      </c>
      <c r="Q4" s="2">
        <v>0.48792814106844012</v>
      </c>
      <c r="R4" s="2">
        <v>0.47972053696978156</v>
      </c>
      <c r="S4" s="2">
        <v>-0.20535292802919047</v>
      </c>
      <c r="T4" s="2">
        <v>0.8487780743173613</v>
      </c>
      <c r="U4" s="2">
        <v>0.35454616252119453</v>
      </c>
      <c r="V4" s="2">
        <v>1.88</v>
      </c>
      <c r="W4" s="2">
        <v>1.85</v>
      </c>
      <c r="X4" s="2">
        <v>50.2</v>
      </c>
      <c r="Y4" s="2">
        <v>18.8</v>
      </c>
      <c r="Z4" s="2">
        <v>50.4</v>
      </c>
      <c r="AA4" s="2">
        <v>18.399999999999999</v>
      </c>
      <c r="AB4" s="2">
        <v>87</v>
      </c>
      <c r="AC4" s="2">
        <v>95</v>
      </c>
      <c r="AD4" s="2">
        <v>14500</v>
      </c>
      <c r="AE4" s="2">
        <v>15833.333333333334</v>
      </c>
      <c r="AF4" s="2">
        <v>89</v>
      </c>
      <c r="AG4" s="2">
        <v>38</v>
      </c>
      <c r="AH4" s="2">
        <v>8.8000000000000007</v>
      </c>
      <c r="AI4" s="2">
        <v>14833.333333333334</v>
      </c>
      <c r="AJ4" s="2">
        <v>6333.333333333333</v>
      </c>
      <c r="AK4" s="2">
        <v>1466.6666666666667</v>
      </c>
      <c r="AL4" s="2">
        <v>91</v>
      </c>
      <c r="AM4" s="2">
        <v>45</v>
      </c>
      <c r="AN4" s="2">
        <v>6.8</v>
      </c>
      <c r="AO4" s="2">
        <v>15166.666666666666</v>
      </c>
      <c r="AP4" s="2">
        <v>7500</v>
      </c>
      <c r="AQ4" s="2">
        <v>1133.3333333333333</v>
      </c>
      <c r="AR4" s="2">
        <v>6333.333333333333</v>
      </c>
      <c r="AS4" s="2">
        <v>7500</v>
      </c>
    </row>
    <row r="5" spans="1:45" x14ac:dyDescent="0.25">
      <c r="A5" t="s">
        <v>59</v>
      </c>
      <c r="B5" s="3">
        <v>-0.58322504692721922</v>
      </c>
      <c r="C5" s="3">
        <v>-0.40974029634520237</v>
      </c>
      <c r="D5" s="3">
        <v>-0.79719092943104441</v>
      </c>
      <c r="E5" s="3">
        <v>-0.54601124306045323</v>
      </c>
      <c r="F5" s="3">
        <v>0.47826385274888339</v>
      </c>
      <c r="G5" s="3">
        <v>-1.0019263028887979</v>
      </c>
      <c r="H5" s="3">
        <v>-0.64989131473980655</v>
      </c>
      <c r="I5" s="2">
        <f t="shared" si="0"/>
        <v>-0.82590880881430229</v>
      </c>
      <c r="J5" s="2">
        <v>-0.12691497783425126</v>
      </c>
      <c r="K5" s="2">
        <f t="shared" si="1"/>
        <v>-0.38840314628702888</v>
      </c>
      <c r="L5" s="2">
        <v>1.0018706813260736</v>
      </c>
      <c r="M5" s="2">
        <v>1.1672343469692412</v>
      </c>
      <c r="N5" s="2">
        <v>-5.7452742311908507E-2</v>
      </c>
      <c r="O5" s="2">
        <v>-0.11565294082441098</v>
      </c>
      <c r="P5" s="2">
        <v>0.21991127484774856</v>
      </c>
      <c r="Q5" s="2">
        <v>0.21991127484774761</v>
      </c>
      <c r="R5" s="2">
        <v>0.50201982295526604</v>
      </c>
      <c r="S5" s="2">
        <v>-2.9754589003982861E-2</v>
      </c>
      <c r="T5" s="2">
        <v>1.0107797622376407</v>
      </c>
      <c r="U5" s="2">
        <v>-1.8195576642597089</v>
      </c>
      <c r="V5" s="2">
        <v>2</v>
      </c>
      <c r="W5" s="2">
        <v>2.1</v>
      </c>
      <c r="X5" s="2">
        <v>54.8</v>
      </c>
      <c r="Y5" s="2">
        <v>17.399999999999999</v>
      </c>
      <c r="Z5" s="2">
        <v>56</v>
      </c>
      <c r="AA5" s="2">
        <v>21.2</v>
      </c>
      <c r="AB5" s="2">
        <v>87</v>
      </c>
      <c r="AC5" s="2">
        <v>92</v>
      </c>
      <c r="AD5" s="2">
        <v>14500</v>
      </c>
      <c r="AE5" s="2">
        <v>15333.333333333334</v>
      </c>
      <c r="AF5" s="2">
        <v>85</v>
      </c>
      <c r="AG5" s="2">
        <v>40</v>
      </c>
      <c r="AH5" s="2">
        <v>10.9</v>
      </c>
      <c r="AI5" s="2">
        <v>14166.666666666666</v>
      </c>
      <c r="AJ5" s="2">
        <v>6666.666666666667</v>
      </c>
      <c r="AK5" s="2">
        <v>1816.6666666666667</v>
      </c>
      <c r="AL5" s="2">
        <v>87</v>
      </c>
      <c r="AM5" s="2">
        <v>55</v>
      </c>
      <c r="AN5" s="2">
        <v>12.8</v>
      </c>
      <c r="AO5" s="2">
        <v>14500</v>
      </c>
      <c r="AP5" s="2">
        <v>9166.6666666666661</v>
      </c>
      <c r="AQ5" s="2">
        <v>2133.3333333333335</v>
      </c>
      <c r="AR5" s="2">
        <v>6666.666666666667</v>
      </c>
      <c r="AS5" s="2">
        <v>9166.6666666666661</v>
      </c>
    </row>
    <row r="6" spans="1:45" x14ac:dyDescent="0.25">
      <c r="A6" t="s">
        <v>59</v>
      </c>
      <c r="B6" s="3">
        <v>-0.46828614289650916</v>
      </c>
      <c r="C6" s="3">
        <v>-0.52636981757747259</v>
      </c>
      <c r="D6" s="3">
        <v>-0.48463503715538303</v>
      </c>
      <c r="E6" s="3">
        <v>-0.79168962129938247</v>
      </c>
      <c r="F6" s="3">
        <v>0.74118906418738661</v>
      </c>
      <c r="G6" s="3">
        <v>-1.0019263028887979</v>
      </c>
      <c r="H6" s="3">
        <v>-0.64989131473980655</v>
      </c>
      <c r="I6" s="2">
        <f t="shared" si="0"/>
        <v>-0.82590880881430229</v>
      </c>
      <c r="J6" s="2">
        <v>-0.12691497783425126</v>
      </c>
      <c r="K6" s="2">
        <f t="shared" si="1"/>
        <v>-0.38840314628702888</v>
      </c>
      <c r="L6" s="2">
        <v>1.0018706813260736</v>
      </c>
      <c r="M6" s="2">
        <v>1.1672343469692412</v>
      </c>
      <c r="N6" s="2">
        <v>-9.4085751702758541E-2</v>
      </c>
      <c r="O6" s="2">
        <v>-0.17456758600276459</v>
      </c>
      <c r="P6" s="2">
        <v>0.21991127484774856</v>
      </c>
      <c r="Q6" s="2">
        <v>0.21991127484774761</v>
      </c>
      <c r="R6" s="2">
        <v>0.50201982295526604</v>
      </c>
      <c r="S6" s="2">
        <v>-6.5363350308953586E-2</v>
      </c>
      <c r="T6" s="2">
        <v>1.0107797622376407</v>
      </c>
      <c r="U6" s="2">
        <v>-1.8195576642597089</v>
      </c>
      <c r="V6" s="2">
        <v>1.85</v>
      </c>
      <c r="W6" s="2">
        <v>2.2000000000000002</v>
      </c>
      <c r="X6" s="2">
        <v>54.8</v>
      </c>
      <c r="Y6" s="2">
        <v>17.399999999999999</v>
      </c>
      <c r="Z6" s="2">
        <v>56</v>
      </c>
      <c r="AA6" s="2">
        <v>21.2</v>
      </c>
      <c r="AB6" s="2">
        <v>87</v>
      </c>
      <c r="AC6" s="2">
        <v>92</v>
      </c>
      <c r="AD6" s="2">
        <v>14500</v>
      </c>
      <c r="AE6" s="2">
        <v>15333.333333333334</v>
      </c>
      <c r="AF6" s="2">
        <v>85</v>
      </c>
      <c r="AG6" s="2">
        <v>40</v>
      </c>
      <c r="AH6" s="2">
        <v>10.9</v>
      </c>
      <c r="AI6" s="2">
        <v>14166.666666666666</v>
      </c>
      <c r="AJ6" s="2">
        <v>6666.666666666667</v>
      </c>
      <c r="AK6" s="2">
        <v>1816.6666666666667</v>
      </c>
      <c r="AL6" s="2">
        <v>87</v>
      </c>
      <c r="AM6" s="2">
        <v>55</v>
      </c>
      <c r="AN6" s="2">
        <v>12.8</v>
      </c>
      <c r="AO6" s="2">
        <v>14500</v>
      </c>
      <c r="AP6" s="2">
        <v>9166.6666666666661</v>
      </c>
      <c r="AQ6" s="2">
        <v>2133.3333333333335</v>
      </c>
      <c r="AR6" s="2">
        <v>6666.666666666667</v>
      </c>
      <c r="AS6" s="2">
        <v>9166.6666666666661</v>
      </c>
    </row>
    <row r="7" spans="1:45" x14ac:dyDescent="0.25">
      <c r="A7" t="s">
        <v>59</v>
      </c>
      <c r="B7" s="3">
        <v>-0.48605972412500303</v>
      </c>
      <c r="C7" s="3">
        <v>-0.5800049227441455</v>
      </c>
      <c r="D7" s="3">
        <v>-0.58085396742615891</v>
      </c>
      <c r="E7" s="3">
        <v>-0.97442053843027943</v>
      </c>
      <c r="F7" s="3">
        <v>0.54310200946806808</v>
      </c>
      <c r="G7" s="3">
        <v>-1.0019263028887979</v>
      </c>
      <c r="H7" s="3">
        <v>-0.64989131473980655</v>
      </c>
      <c r="I7" s="2">
        <f t="shared" si="0"/>
        <v>-0.82590880881430229</v>
      </c>
      <c r="J7" s="2">
        <v>-0.12691497783425126</v>
      </c>
      <c r="K7" s="2">
        <f t="shared" si="1"/>
        <v>-0.38840314628702888</v>
      </c>
      <c r="L7" s="2">
        <v>1.0018706813260736</v>
      </c>
      <c r="M7" s="2">
        <v>1.1672343469692412</v>
      </c>
      <c r="N7" s="2">
        <v>-0.13071876109361491</v>
      </c>
      <c r="O7" s="2">
        <v>-0.10186440684649868</v>
      </c>
      <c r="P7" s="2">
        <v>0.21991127484774856</v>
      </c>
      <c r="Q7" s="2">
        <v>0.21991127484774761</v>
      </c>
      <c r="R7" s="2">
        <v>0.50201982295526604</v>
      </c>
      <c r="S7" s="2">
        <v>-0.1009721116139244</v>
      </c>
      <c r="T7" s="2">
        <v>1.0107797622376407</v>
      </c>
      <c r="U7" s="2">
        <v>-1.8195576642597089</v>
      </c>
      <c r="V7" s="2">
        <v>1.8</v>
      </c>
      <c r="W7" s="2">
        <v>1.9</v>
      </c>
      <c r="X7" s="2">
        <v>54.8</v>
      </c>
      <c r="Y7" s="2">
        <v>17.399999999999999</v>
      </c>
      <c r="Z7" s="2">
        <v>56</v>
      </c>
      <c r="AA7" s="2">
        <v>21.2</v>
      </c>
      <c r="AB7" s="2">
        <v>87</v>
      </c>
      <c r="AC7" s="2">
        <v>92</v>
      </c>
      <c r="AD7" s="2">
        <v>14500</v>
      </c>
      <c r="AE7" s="2">
        <v>15333.333333333334</v>
      </c>
      <c r="AF7" s="2">
        <v>85</v>
      </c>
      <c r="AG7" s="2">
        <v>40</v>
      </c>
      <c r="AH7" s="2">
        <v>10.9</v>
      </c>
      <c r="AI7" s="2">
        <v>14166.666666666666</v>
      </c>
      <c r="AJ7" s="2">
        <v>6666.666666666667</v>
      </c>
      <c r="AK7" s="2">
        <v>1816.6666666666667</v>
      </c>
      <c r="AL7" s="2">
        <v>87</v>
      </c>
      <c r="AM7" s="2">
        <v>55</v>
      </c>
      <c r="AN7" s="2">
        <v>12.8</v>
      </c>
      <c r="AO7" s="2">
        <v>14500</v>
      </c>
      <c r="AP7" s="2">
        <v>9166.6666666666661</v>
      </c>
      <c r="AQ7" s="2">
        <v>2133.3333333333335</v>
      </c>
      <c r="AR7" s="2">
        <v>6666.666666666667</v>
      </c>
      <c r="AS7" s="2">
        <v>9166.6666666666661</v>
      </c>
    </row>
    <row r="8" spans="1:45" x14ac:dyDescent="0.25">
      <c r="A8" t="s">
        <v>59</v>
      </c>
      <c r="B8" s="3">
        <v>-0.4159697730435663</v>
      </c>
      <c r="C8" s="3">
        <v>-0.27128655945347185</v>
      </c>
      <c r="D8" s="3">
        <v>-0.40634684392248588</v>
      </c>
      <c r="E8" s="3">
        <v>-0.17277524734105854</v>
      </c>
      <c r="F8" s="3">
        <v>0.74072122573286991</v>
      </c>
      <c r="G8" s="3">
        <v>-1.0634942532238765</v>
      </c>
      <c r="H8" s="3">
        <v>-0.85429261534345624</v>
      </c>
      <c r="I8" s="2">
        <f t="shared" si="0"/>
        <v>-0.95889343428366636</v>
      </c>
      <c r="J8" s="2">
        <v>-0.26977513115192198</v>
      </c>
      <c r="K8" s="2">
        <f t="shared" si="1"/>
        <v>-0.56203387324768905</v>
      </c>
      <c r="L8" s="2">
        <v>9.2012340889297703E-2</v>
      </c>
      <c r="M8" s="2">
        <v>0.53564984434133744</v>
      </c>
      <c r="N8" s="2">
        <v>-0.13335897798664254</v>
      </c>
      <c r="O8" s="2">
        <v>-9.0896254818613215E-2</v>
      </c>
      <c r="P8" s="2">
        <v>-3.4361136694954601E-3</v>
      </c>
      <c r="Q8" s="2">
        <v>-3.4361136694960001E-3</v>
      </c>
      <c r="R8" s="2">
        <v>0.61351625288268818</v>
      </c>
      <c r="S8" s="2">
        <v>-0.13262882276321483</v>
      </c>
      <c r="T8" s="2">
        <v>0.8487780743173613</v>
      </c>
      <c r="U8" s="2">
        <v>-1.036880286618584</v>
      </c>
      <c r="V8" s="2">
        <v>2</v>
      </c>
      <c r="W8" s="2">
        <v>1.99</v>
      </c>
      <c r="X8" s="2">
        <v>54.2</v>
      </c>
      <c r="Y8" s="2">
        <v>18.2</v>
      </c>
      <c r="Z8" s="2">
        <v>53</v>
      </c>
      <c r="AA8" s="2">
        <v>17.8</v>
      </c>
      <c r="AB8" s="2">
        <v>121</v>
      </c>
      <c r="AC8" s="2">
        <v>114</v>
      </c>
      <c r="AD8" s="2">
        <v>20166.666666666668</v>
      </c>
      <c r="AE8" s="2">
        <v>19000</v>
      </c>
      <c r="AF8" s="2">
        <v>124</v>
      </c>
      <c r="AG8" s="2">
        <v>72</v>
      </c>
      <c r="AH8" s="2">
        <v>17.399999999999999</v>
      </c>
      <c r="AI8" s="2">
        <v>20666.666666666668</v>
      </c>
      <c r="AJ8" s="2">
        <v>12000</v>
      </c>
      <c r="AK8" s="2">
        <v>2900</v>
      </c>
      <c r="AL8" s="2">
        <v>113</v>
      </c>
      <c r="AM8" s="2">
        <v>50</v>
      </c>
      <c r="AN8" s="2">
        <v>12.4</v>
      </c>
      <c r="AO8" s="2">
        <v>18833.333333333332</v>
      </c>
      <c r="AP8" s="2">
        <v>8333.3333333333339</v>
      </c>
      <c r="AQ8" s="2">
        <v>2066.6666666666665</v>
      </c>
      <c r="AR8" s="2">
        <v>12000</v>
      </c>
      <c r="AS8" s="2">
        <v>8333.3333333333339</v>
      </c>
    </row>
    <row r="9" spans="1:45" x14ac:dyDescent="0.25">
      <c r="A9" t="s">
        <v>59</v>
      </c>
      <c r="B9" s="3">
        <v>-0.57960491657700797</v>
      </c>
      <c r="C9" s="3">
        <v>-0.48064338161355175</v>
      </c>
      <c r="D9" s="3">
        <v>-0.73315491986023618</v>
      </c>
      <c r="E9" s="3">
        <v>-0.67780197074245585</v>
      </c>
      <c r="F9" s="3">
        <v>0.55792398232253548</v>
      </c>
      <c r="G9" s="3">
        <v>-1.0634942532238765</v>
      </c>
      <c r="H9" s="3">
        <v>-0.85429261534345624</v>
      </c>
      <c r="I9" s="2">
        <f t="shared" si="0"/>
        <v>-0.95889343428366636</v>
      </c>
      <c r="J9" s="2">
        <v>-0.26977513115192198</v>
      </c>
      <c r="K9" s="2">
        <f t="shared" si="1"/>
        <v>-0.56203387324768905</v>
      </c>
      <c r="L9" s="2">
        <v>9.2012340889297703E-2</v>
      </c>
      <c r="M9" s="2">
        <v>0.53564984434133744</v>
      </c>
      <c r="N9" s="2">
        <v>-0.14292976422389189</v>
      </c>
      <c r="O9" s="2">
        <v>-7.084020539619558E-2</v>
      </c>
      <c r="P9" s="2">
        <v>-3.4361136694954601E-3</v>
      </c>
      <c r="Q9" s="2">
        <v>-3.4361136694960001E-3</v>
      </c>
      <c r="R9" s="2">
        <v>0.61351625288268818</v>
      </c>
      <c r="S9" s="2">
        <v>-0.14144493464896499</v>
      </c>
      <c r="T9" s="2">
        <v>0.8487780743173613</v>
      </c>
      <c r="U9" s="2">
        <v>-1.036880286618584</v>
      </c>
      <c r="V9" s="2">
        <v>2.15</v>
      </c>
      <c r="W9" s="2">
        <v>1.99</v>
      </c>
      <c r="X9" s="2">
        <v>54.2</v>
      </c>
      <c r="Y9" s="2">
        <v>18.2</v>
      </c>
      <c r="Z9" s="2">
        <v>53</v>
      </c>
      <c r="AA9" s="2">
        <v>17.8</v>
      </c>
      <c r="AB9" s="2">
        <v>121</v>
      </c>
      <c r="AC9" s="2">
        <v>114</v>
      </c>
      <c r="AD9" s="2">
        <v>20166.666666666668</v>
      </c>
      <c r="AE9" s="2">
        <v>19000</v>
      </c>
      <c r="AF9" s="2">
        <v>124</v>
      </c>
      <c r="AG9" s="2">
        <v>72</v>
      </c>
      <c r="AH9" s="2">
        <v>17.399999999999999</v>
      </c>
      <c r="AI9" s="2">
        <v>20666.666666666668</v>
      </c>
      <c r="AJ9" s="2">
        <v>12000</v>
      </c>
      <c r="AK9" s="2">
        <v>2900</v>
      </c>
      <c r="AL9" s="2">
        <v>113</v>
      </c>
      <c r="AM9" s="2">
        <v>50</v>
      </c>
      <c r="AN9" s="2">
        <v>12.4</v>
      </c>
      <c r="AO9" s="2">
        <v>18833.333333333332</v>
      </c>
      <c r="AP9" s="2">
        <v>8333.3333333333339</v>
      </c>
      <c r="AQ9" s="2">
        <v>2066.6666666666665</v>
      </c>
      <c r="AR9" s="2">
        <v>12000</v>
      </c>
      <c r="AS9" s="2">
        <v>8333.3333333333339</v>
      </c>
    </row>
    <row r="10" spans="1:45" x14ac:dyDescent="0.25">
      <c r="A10" t="s">
        <v>59</v>
      </c>
      <c r="B10" s="3">
        <v>-0.62820294901170359</v>
      </c>
      <c r="C10" s="3">
        <v>-0.60655279086040725</v>
      </c>
      <c r="D10" s="3">
        <v>-0.78949205323721916</v>
      </c>
      <c r="E10" s="3">
        <v>-0.89429723872017297</v>
      </c>
      <c r="F10" s="3">
        <v>0.60413366239822852</v>
      </c>
      <c r="G10" s="3">
        <v>-1.0634942532238765</v>
      </c>
      <c r="H10" s="3">
        <v>-0.85429261534345624</v>
      </c>
      <c r="I10" s="2">
        <f t="shared" si="0"/>
        <v>-0.95889343428366636</v>
      </c>
      <c r="J10" s="2">
        <v>-0.26977513115192198</v>
      </c>
      <c r="K10" s="2">
        <f t="shared" si="1"/>
        <v>-0.56203387324768905</v>
      </c>
      <c r="L10" s="2">
        <v>9.2012340889297703E-2</v>
      </c>
      <c r="M10" s="2">
        <v>0.53564984434133744</v>
      </c>
      <c r="N10" s="2">
        <v>-0.15580082157743433</v>
      </c>
      <c r="O10" s="2">
        <v>-5.5484792557156569E-2</v>
      </c>
      <c r="P10" s="2">
        <v>-3.4361136694954601E-3</v>
      </c>
      <c r="Q10" s="2">
        <v>-3.4361136694960001E-3</v>
      </c>
      <c r="R10" s="2">
        <v>0.61351625288268818</v>
      </c>
      <c r="S10" s="2">
        <v>-0.15330108511600904</v>
      </c>
      <c r="T10" s="2">
        <v>0.8487780743173613</v>
      </c>
      <c r="U10" s="2">
        <v>-1.036880286618584</v>
      </c>
      <c r="V10" s="2">
        <v>2</v>
      </c>
      <c r="W10" s="2">
        <v>1.99</v>
      </c>
      <c r="X10" s="2">
        <v>54.2</v>
      </c>
      <c r="Y10" s="2">
        <v>18.2</v>
      </c>
      <c r="Z10" s="2">
        <v>53</v>
      </c>
      <c r="AA10" s="2">
        <v>17.8</v>
      </c>
      <c r="AB10" s="2">
        <v>121</v>
      </c>
      <c r="AC10" s="2">
        <v>114</v>
      </c>
      <c r="AD10" s="2">
        <v>20166.666666666668</v>
      </c>
      <c r="AE10" s="2">
        <v>19000</v>
      </c>
      <c r="AF10" s="2">
        <v>124</v>
      </c>
      <c r="AG10" s="2">
        <v>72</v>
      </c>
      <c r="AH10" s="2">
        <v>17.399999999999999</v>
      </c>
      <c r="AI10" s="2">
        <v>20666.666666666668</v>
      </c>
      <c r="AJ10" s="2">
        <v>12000</v>
      </c>
      <c r="AK10" s="2">
        <v>2900</v>
      </c>
      <c r="AL10" s="2">
        <v>113</v>
      </c>
      <c r="AM10" s="2">
        <v>50</v>
      </c>
      <c r="AN10" s="2">
        <v>12.4</v>
      </c>
      <c r="AO10" s="2">
        <v>18833.333333333332</v>
      </c>
      <c r="AP10" s="2">
        <v>8333.3333333333339</v>
      </c>
      <c r="AQ10" s="2">
        <v>2066.6666666666665</v>
      </c>
      <c r="AR10" s="2">
        <v>12000</v>
      </c>
      <c r="AS10" s="2">
        <v>8333.3333333333339</v>
      </c>
    </row>
    <row r="11" spans="1:45" x14ac:dyDescent="0.25">
      <c r="A11" t="s">
        <v>60</v>
      </c>
      <c r="B11" s="3">
        <v>-0.62881365042406168</v>
      </c>
      <c r="C11" s="3">
        <v>4.6953626809448937E-2</v>
      </c>
      <c r="D11" s="3">
        <v>-0.82845421178706469</v>
      </c>
      <c r="E11" s="3">
        <v>0.24122902266104962</v>
      </c>
      <c r="F11" s="3">
        <v>0.45176718391578952</v>
      </c>
      <c r="G11" s="3">
        <v>-1.3508113547875757</v>
      </c>
      <c r="H11" s="3">
        <v>-0.23135531826566672</v>
      </c>
      <c r="I11" s="2">
        <f t="shared" si="0"/>
        <v>-0.79108333652662122</v>
      </c>
      <c r="J11" s="2">
        <v>0.13359471350973648</v>
      </c>
      <c r="K11" s="2">
        <f t="shared" si="1"/>
        <v>-4.8880302377965118E-2</v>
      </c>
      <c r="L11" s="2">
        <v>0.34677267621159497</v>
      </c>
      <c r="M11" s="2">
        <v>0.42580906127561502</v>
      </c>
      <c r="N11" s="2">
        <v>-8.2787026791455408E-3</v>
      </c>
      <c r="O11" s="2">
        <v>-5.5484792557156569E-2</v>
      </c>
      <c r="P11" s="2">
        <v>-0.31612245759363777</v>
      </c>
      <c r="Q11" s="2">
        <v>-0.31612245759363827</v>
      </c>
      <c r="R11" s="2">
        <v>0.32362553507139102</v>
      </c>
      <c r="S11" s="2">
        <v>-6.7049647952941036E-2</v>
      </c>
      <c r="T11" s="2">
        <v>1.0107797622376407</v>
      </c>
      <c r="U11" s="2">
        <v>-0.34116706204869518</v>
      </c>
      <c r="V11" s="2">
        <v>1.8</v>
      </c>
      <c r="W11" s="2">
        <v>1.83</v>
      </c>
      <c r="X11" s="2">
        <v>50.8</v>
      </c>
      <c r="Y11" s="2">
        <v>18</v>
      </c>
      <c r="Z11" s="2">
        <v>52.8</v>
      </c>
      <c r="AA11" s="2">
        <v>17.600000000000001</v>
      </c>
      <c r="AB11" s="2">
        <v>87</v>
      </c>
      <c r="AC11" s="2">
        <v>79</v>
      </c>
      <c r="AD11" s="2">
        <v>14500</v>
      </c>
      <c r="AE11" s="2">
        <v>13166.666666666666</v>
      </c>
      <c r="AF11" s="2">
        <v>81</v>
      </c>
      <c r="AG11" s="2">
        <v>20</v>
      </c>
      <c r="AH11" s="2">
        <v>4.4000000000000004</v>
      </c>
      <c r="AI11" s="2">
        <v>13500</v>
      </c>
      <c r="AJ11" s="2">
        <v>3333.3333333333335</v>
      </c>
      <c r="AK11" s="2">
        <v>733.33333333333337</v>
      </c>
      <c r="AL11" s="2">
        <v>75</v>
      </c>
      <c r="AM11" s="2">
        <v>17</v>
      </c>
      <c r="AN11" s="2">
        <v>4.2</v>
      </c>
      <c r="AO11" s="2">
        <v>12500</v>
      </c>
      <c r="AP11" s="2">
        <v>2833.3333333333335</v>
      </c>
      <c r="AQ11" s="2">
        <v>700</v>
      </c>
      <c r="AR11" s="2">
        <v>3333.3333333333335</v>
      </c>
      <c r="AS11" s="2">
        <v>2833.3333333333335</v>
      </c>
    </row>
    <row r="12" spans="1:45" x14ac:dyDescent="0.25">
      <c r="A12" t="s">
        <v>60</v>
      </c>
      <c r="B12" s="3">
        <v>-0.43139157537288264</v>
      </c>
      <c r="C12" s="3">
        <v>-0.49129023959341311</v>
      </c>
      <c r="D12" s="3">
        <v>-0.30871352756407167</v>
      </c>
      <c r="E12" s="3">
        <v>-0.59390440096082864</v>
      </c>
      <c r="F12" s="3">
        <v>0.59577636636981279</v>
      </c>
      <c r="G12" s="3">
        <v>-1.3508113547875757</v>
      </c>
      <c r="H12" s="3">
        <v>-0.23135531826566672</v>
      </c>
      <c r="I12" s="2">
        <f t="shared" si="0"/>
        <v>-0.79108333652662122</v>
      </c>
      <c r="J12" s="2">
        <v>0.13359471350973648</v>
      </c>
      <c r="K12" s="2">
        <f t="shared" si="1"/>
        <v>-4.8880302377965118E-2</v>
      </c>
      <c r="L12" s="2">
        <v>0.34677267621159497</v>
      </c>
      <c r="M12" s="2">
        <v>0.42580906127561502</v>
      </c>
      <c r="N12" s="2">
        <v>-9.5405860149276586E-2</v>
      </c>
      <c r="O12" s="2">
        <v>-0.11314593464660928</v>
      </c>
      <c r="P12" s="2">
        <v>-0.31612245759363777</v>
      </c>
      <c r="Q12" s="2">
        <v>-0.31612245759363827</v>
      </c>
      <c r="R12" s="2">
        <v>0.32362553507139102</v>
      </c>
      <c r="S12" s="2">
        <v>-0.14109894130766876</v>
      </c>
      <c r="T12" s="2">
        <v>1.0107797622376407</v>
      </c>
      <c r="U12" s="2">
        <v>-0.34116706204869518</v>
      </c>
      <c r="V12" s="2">
        <v>1.7</v>
      </c>
      <c r="W12" s="2">
        <v>1.93</v>
      </c>
      <c r="X12" s="2">
        <v>50.8</v>
      </c>
      <c r="Y12" s="2">
        <v>18</v>
      </c>
      <c r="Z12" s="2">
        <v>52.8</v>
      </c>
      <c r="AA12" s="2">
        <v>17.600000000000001</v>
      </c>
      <c r="AB12" s="2">
        <v>87</v>
      </c>
      <c r="AC12" s="2">
        <v>79</v>
      </c>
      <c r="AD12" s="2">
        <v>14500</v>
      </c>
      <c r="AE12" s="2">
        <v>13166.666666666666</v>
      </c>
      <c r="AF12" s="2">
        <v>81</v>
      </c>
      <c r="AG12" s="2">
        <v>20</v>
      </c>
      <c r="AH12" s="2">
        <v>4.4000000000000004</v>
      </c>
      <c r="AI12" s="2">
        <v>13500</v>
      </c>
      <c r="AJ12" s="2">
        <v>3333.3333333333335</v>
      </c>
      <c r="AK12" s="2">
        <v>733.33333333333337</v>
      </c>
      <c r="AL12" s="2">
        <v>75</v>
      </c>
      <c r="AM12" s="2">
        <v>17</v>
      </c>
      <c r="AN12" s="2">
        <v>4.2</v>
      </c>
      <c r="AO12" s="2">
        <v>12500</v>
      </c>
      <c r="AP12" s="2">
        <v>2833.3333333333335</v>
      </c>
      <c r="AQ12" s="2">
        <v>700</v>
      </c>
      <c r="AR12" s="2">
        <v>3333.3333333333335</v>
      </c>
      <c r="AS12" s="2">
        <v>2833.3333333333335</v>
      </c>
    </row>
    <row r="13" spans="1:45" x14ac:dyDescent="0.25">
      <c r="A13" t="s">
        <v>60</v>
      </c>
      <c r="B13" s="3">
        <v>-0.52672490923698834</v>
      </c>
      <c r="C13" s="3">
        <v>-0.42062559222910861</v>
      </c>
      <c r="D13" s="3">
        <v>-0.72075571903443736</v>
      </c>
      <c r="E13" s="3">
        <v>-0.54066293368397778</v>
      </c>
      <c r="F13" s="3">
        <v>0.38914062716341236</v>
      </c>
      <c r="G13" s="3">
        <v>-1.3508113547875757</v>
      </c>
      <c r="H13" s="3">
        <v>-0.23135531826566672</v>
      </c>
      <c r="I13" s="2">
        <f t="shared" si="0"/>
        <v>-0.79108333652662122</v>
      </c>
      <c r="J13" s="2">
        <v>0.13359471350973648</v>
      </c>
      <c r="K13" s="2">
        <f t="shared" si="1"/>
        <v>-4.8880302377965118E-2</v>
      </c>
      <c r="L13" s="2">
        <v>0.34677267621159497</v>
      </c>
      <c r="M13" s="2">
        <v>0.42580906127561502</v>
      </c>
      <c r="N13" s="2">
        <v>-6.966374544219181E-2</v>
      </c>
      <c r="O13" s="2">
        <v>-0.15983892470817548</v>
      </c>
      <c r="P13" s="2">
        <v>-0.31612245759363777</v>
      </c>
      <c r="Q13" s="2">
        <v>-0.31612245759363827</v>
      </c>
      <c r="R13" s="2">
        <v>0.32362553507139102</v>
      </c>
      <c r="S13" s="2">
        <v>-0.11922074099831752</v>
      </c>
      <c r="T13" s="2">
        <v>1.0107797622376407</v>
      </c>
      <c r="U13" s="2">
        <v>-0.34116706204869518</v>
      </c>
      <c r="V13" s="2">
        <v>1.85</v>
      </c>
      <c r="W13" s="2">
        <v>1.88</v>
      </c>
      <c r="X13" s="2">
        <v>50.8</v>
      </c>
      <c r="Y13" s="2">
        <v>18</v>
      </c>
      <c r="Z13" s="2">
        <v>52.8</v>
      </c>
      <c r="AA13" s="2">
        <v>17.600000000000001</v>
      </c>
      <c r="AB13" s="2">
        <v>87</v>
      </c>
      <c r="AC13" s="2">
        <v>79</v>
      </c>
      <c r="AD13" s="2">
        <v>14500</v>
      </c>
      <c r="AE13" s="2">
        <v>13166.666666666666</v>
      </c>
      <c r="AF13" s="2">
        <v>81</v>
      </c>
      <c r="AG13" s="2">
        <v>20</v>
      </c>
      <c r="AH13" s="2">
        <v>4.4000000000000004</v>
      </c>
      <c r="AI13" s="2">
        <v>13500</v>
      </c>
      <c r="AJ13" s="2">
        <v>3333.3333333333335</v>
      </c>
      <c r="AK13" s="2">
        <v>733.33333333333337</v>
      </c>
      <c r="AL13" s="2">
        <v>75</v>
      </c>
      <c r="AM13" s="2">
        <v>17</v>
      </c>
      <c r="AN13" s="2">
        <v>4.2</v>
      </c>
      <c r="AO13" s="2">
        <v>12500</v>
      </c>
      <c r="AP13" s="2">
        <v>2833.3333333333335</v>
      </c>
      <c r="AQ13" s="2">
        <v>700</v>
      </c>
      <c r="AR13" s="2">
        <v>3333.3333333333335</v>
      </c>
      <c r="AS13" s="2">
        <v>2833.3333333333335</v>
      </c>
    </row>
    <row r="14" spans="1:45" x14ac:dyDescent="0.25">
      <c r="A14" t="s">
        <v>60</v>
      </c>
      <c r="B14" s="3">
        <v>-0.49882118700562783</v>
      </c>
      <c r="C14" s="3">
        <v>-0.43829348457558831</v>
      </c>
      <c r="D14" s="3">
        <v>-0.64025508817023591</v>
      </c>
      <c r="E14" s="3">
        <v>-0.66255626868840201</v>
      </c>
      <c r="F14" s="3">
        <v>-1.8793239791037031E-2</v>
      </c>
      <c r="G14" s="3">
        <v>-0.96088100266541232</v>
      </c>
      <c r="H14" s="3">
        <v>-0.48442359520351869</v>
      </c>
      <c r="I14" s="2">
        <f t="shared" si="0"/>
        <v>-0.72265229893446548</v>
      </c>
      <c r="J14" s="2">
        <v>9.9980559787931605E-2</v>
      </c>
      <c r="K14" s="2">
        <f t="shared" si="1"/>
        <v>-0.19222151770779355</v>
      </c>
      <c r="L14" s="2">
        <v>0.25942627552966446</v>
      </c>
      <c r="M14" s="2">
        <v>0.3914838165675768</v>
      </c>
      <c r="N14" s="2">
        <v>1.5483249358164289E-2</v>
      </c>
      <c r="O14" s="2">
        <v>-0.12129370472446625</v>
      </c>
      <c r="P14" s="2">
        <v>-0.53946984611088178</v>
      </c>
      <c r="Q14" s="2">
        <v>-0.53946984611088233</v>
      </c>
      <c r="R14" s="2">
        <v>-0.14465947062378154</v>
      </c>
      <c r="S14" s="2">
        <v>-8.351960283037832E-2</v>
      </c>
      <c r="T14" s="2">
        <v>1.3887837007182919</v>
      </c>
      <c r="U14" s="2">
        <v>0.35454616252119453</v>
      </c>
      <c r="V14" s="2">
        <v>1.8</v>
      </c>
      <c r="W14" s="2">
        <v>1.91</v>
      </c>
      <c r="X14" s="2">
        <v>51.2</v>
      </c>
      <c r="Y14" s="2">
        <v>20</v>
      </c>
      <c r="Z14" s="2">
        <v>50.4</v>
      </c>
      <c r="AA14" s="2">
        <v>18</v>
      </c>
      <c r="AB14" s="2">
        <v>87</v>
      </c>
      <c r="AC14" s="2">
        <v>94</v>
      </c>
      <c r="AD14" s="2">
        <v>14500</v>
      </c>
      <c r="AE14" s="2">
        <v>15666.666666666666</v>
      </c>
      <c r="AF14" s="2">
        <v>79</v>
      </c>
      <c r="AG14" s="2">
        <v>11</v>
      </c>
      <c r="AH14" s="2">
        <v>2.2000000000000002</v>
      </c>
      <c r="AI14" s="2">
        <v>13166.666666666666</v>
      </c>
      <c r="AJ14" s="2">
        <v>1833.3333333333333</v>
      </c>
      <c r="AK14" s="2">
        <v>366.66666666666669</v>
      </c>
      <c r="AL14" s="2">
        <v>70</v>
      </c>
      <c r="AM14" s="2">
        <v>20</v>
      </c>
      <c r="AN14" s="2">
        <v>3.5</v>
      </c>
      <c r="AO14" s="2">
        <v>11666.666666666666</v>
      </c>
      <c r="AP14" s="2">
        <v>3333.3333333333335</v>
      </c>
      <c r="AQ14" s="2">
        <v>583.33333333333337</v>
      </c>
      <c r="AR14" s="2">
        <v>1833.3333333333333</v>
      </c>
      <c r="AS14" s="2">
        <v>3333.3333333333335</v>
      </c>
    </row>
    <row r="15" spans="1:45" x14ac:dyDescent="0.25">
      <c r="A15" t="s">
        <v>60</v>
      </c>
      <c r="B15" s="3">
        <v>-0.5245565377816509</v>
      </c>
      <c r="C15" s="3">
        <v>-0.53248712699696688</v>
      </c>
      <c r="D15" s="3">
        <v>-0.66358604767589047</v>
      </c>
      <c r="E15" s="3">
        <v>-0.83538684230405214</v>
      </c>
      <c r="F15" s="3">
        <v>-3.344508957113445E-2</v>
      </c>
      <c r="G15" s="3">
        <v>-0.96088100266541232</v>
      </c>
      <c r="H15" s="3">
        <v>-0.48442359520351869</v>
      </c>
      <c r="I15" s="2">
        <f t="shared" si="0"/>
        <v>-0.72265229893446548</v>
      </c>
      <c r="J15" s="2">
        <v>9.9980559787931605E-2</v>
      </c>
      <c r="K15" s="2">
        <f t="shared" si="1"/>
        <v>-0.19222151770779355</v>
      </c>
      <c r="L15" s="2">
        <v>0.25942627552966446</v>
      </c>
      <c r="M15" s="2">
        <v>0.3914838165675768</v>
      </c>
      <c r="N15" s="2">
        <v>-7.4284125005000728E-2</v>
      </c>
      <c r="O15" s="2">
        <v>-0.16516631283600577</v>
      </c>
      <c r="P15" s="2">
        <v>-0.53946984611088178</v>
      </c>
      <c r="Q15" s="2">
        <v>-0.53946984611088233</v>
      </c>
      <c r="R15" s="2">
        <v>-0.14465947062378154</v>
      </c>
      <c r="S15" s="2">
        <v>-0.15524435839697867</v>
      </c>
      <c r="T15" s="2">
        <v>1.3887837007182919</v>
      </c>
      <c r="U15" s="2">
        <v>0.35454616252119453</v>
      </c>
      <c r="V15" s="2">
        <v>1.7</v>
      </c>
      <c r="W15" s="2">
        <v>1.93</v>
      </c>
      <c r="X15" s="2">
        <v>51.2</v>
      </c>
      <c r="Y15" s="2">
        <v>20</v>
      </c>
      <c r="Z15" s="2">
        <v>50.4</v>
      </c>
      <c r="AA15" s="2">
        <v>18</v>
      </c>
      <c r="AB15" s="2">
        <v>87</v>
      </c>
      <c r="AC15" s="2">
        <v>94</v>
      </c>
      <c r="AD15" s="2">
        <v>14500</v>
      </c>
      <c r="AE15" s="2">
        <v>15666.666666666666</v>
      </c>
      <c r="AF15" s="2">
        <v>79</v>
      </c>
      <c r="AG15" s="2">
        <v>11</v>
      </c>
      <c r="AH15" s="2">
        <v>2.2000000000000002</v>
      </c>
      <c r="AI15" s="2">
        <v>13166.666666666666</v>
      </c>
      <c r="AJ15" s="2">
        <v>1833.3333333333333</v>
      </c>
      <c r="AK15" s="2">
        <v>366.66666666666669</v>
      </c>
      <c r="AL15" s="2">
        <v>70</v>
      </c>
      <c r="AM15" s="2">
        <v>20</v>
      </c>
      <c r="AN15" s="2">
        <v>3.5</v>
      </c>
      <c r="AO15" s="2">
        <v>11666.666666666666</v>
      </c>
      <c r="AP15" s="2">
        <v>3333.3333333333335</v>
      </c>
      <c r="AQ15" s="2">
        <v>583.33333333333337</v>
      </c>
      <c r="AR15" s="2">
        <v>1833.3333333333333</v>
      </c>
      <c r="AS15" s="2">
        <v>3333.3333333333335</v>
      </c>
    </row>
    <row r="16" spans="1:45" x14ac:dyDescent="0.25">
      <c r="A16" t="s">
        <v>60</v>
      </c>
      <c r="B16" s="3">
        <v>-0.47462846595747005</v>
      </c>
      <c r="C16" s="3">
        <v>-0.43667990655218664</v>
      </c>
      <c r="D16" s="3">
        <v>-0.59683622072279907</v>
      </c>
      <c r="E16" s="3">
        <v>-0.64464441453278276</v>
      </c>
      <c r="F16" s="3">
        <v>-0.18147342965714428</v>
      </c>
      <c r="G16" s="3">
        <v>-0.96088100266541232</v>
      </c>
      <c r="H16" s="3">
        <v>-0.48442359520351869</v>
      </c>
      <c r="I16" s="2">
        <f t="shared" si="0"/>
        <v>-0.72265229893446548</v>
      </c>
      <c r="J16" s="2">
        <v>9.9980559787931605E-2</v>
      </c>
      <c r="K16" s="2">
        <f t="shared" si="1"/>
        <v>-0.19222151770779355</v>
      </c>
      <c r="L16" s="2">
        <v>0.25942627552966446</v>
      </c>
      <c r="M16" s="2">
        <v>0.3914838165675768</v>
      </c>
      <c r="N16" s="2">
        <v>-7.6594314786409406E-2</v>
      </c>
      <c r="O16" s="2">
        <v>-0.1871026168917751</v>
      </c>
      <c r="P16" s="2">
        <v>-0.53946984611088178</v>
      </c>
      <c r="Q16" s="2">
        <v>-0.53946984611088233</v>
      </c>
      <c r="R16" s="2">
        <v>-0.14465947062378154</v>
      </c>
      <c r="S16" s="2">
        <v>-0.15709021607700135</v>
      </c>
      <c r="T16" s="2">
        <v>1.3887837007182919</v>
      </c>
      <c r="U16" s="2">
        <v>0.35454616252119453</v>
      </c>
      <c r="V16" s="2">
        <v>1.8</v>
      </c>
      <c r="W16" s="2">
        <v>1.8</v>
      </c>
      <c r="X16" s="2">
        <v>51.2</v>
      </c>
      <c r="Y16" s="2">
        <v>20</v>
      </c>
      <c r="Z16" s="2">
        <v>50.4</v>
      </c>
      <c r="AA16" s="2">
        <v>18</v>
      </c>
      <c r="AB16" s="2">
        <v>87</v>
      </c>
      <c r="AC16" s="2">
        <v>94</v>
      </c>
      <c r="AD16" s="2">
        <v>14500</v>
      </c>
      <c r="AE16" s="2">
        <v>15666.666666666666</v>
      </c>
      <c r="AF16" s="2">
        <v>79</v>
      </c>
      <c r="AG16" s="2">
        <v>11</v>
      </c>
      <c r="AH16" s="2">
        <v>2.2000000000000002</v>
      </c>
      <c r="AI16" s="2">
        <v>13166.666666666666</v>
      </c>
      <c r="AJ16" s="2">
        <v>1833.3333333333333</v>
      </c>
      <c r="AK16" s="2">
        <v>366.66666666666669</v>
      </c>
      <c r="AL16" s="2">
        <v>70</v>
      </c>
      <c r="AM16" s="2">
        <v>20</v>
      </c>
      <c r="AN16" s="2">
        <v>3.5</v>
      </c>
      <c r="AO16" s="2">
        <v>11666.666666666666</v>
      </c>
      <c r="AP16" s="2">
        <v>3333.3333333333335</v>
      </c>
      <c r="AQ16" s="2">
        <v>583.33333333333337</v>
      </c>
      <c r="AR16" s="2">
        <v>1833.3333333333333</v>
      </c>
      <c r="AS16" s="2">
        <v>3333.3333333333335</v>
      </c>
    </row>
    <row r="17" spans="1:45" x14ac:dyDescent="0.25">
      <c r="A17" t="s">
        <v>60</v>
      </c>
      <c r="B17" s="3">
        <v>-0.49112281558884857</v>
      </c>
      <c r="C17" s="3">
        <v>-0.35898458412054479</v>
      </c>
      <c r="D17" s="3">
        <v>-0.62879984304844083</v>
      </c>
      <c r="E17" s="3">
        <v>-0.3516377061237479</v>
      </c>
      <c r="F17" s="3">
        <v>0.37229844280080326</v>
      </c>
      <c r="G17" s="3">
        <v>1.029816058168791</v>
      </c>
      <c r="H17" s="3">
        <v>2.1046595457760442</v>
      </c>
      <c r="I17" s="2">
        <f t="shared" si="0"/>
        <v>1.5672378019724176</v>
      </c>
      <c r="J17" s="2">
        <v>1.7722847074477239</v>
      </c>
      <c r="K17" s="2">
        <f t="shared" si="1"/>
        <v>1.9384721266118841</v>
      </c>
      <c r="L17" s="2">
        <v>1.4677181516297029</v>
      </c>
      <c r="M17" s="2">
        <v>1.4281062067503318</v>
      </c>
      <c r="N17" s="2">
        <v>-0.16306141803327709</v>
      </c>
      <c r="O17" s="2">
        <v>-0.13508223870237854</v>
      </c>
      <c r="P17" s="2">
        <v>-0.82982145118329964</v>
      </c>
      <c r="Q17" s="2">
        <v>-0.8298214511833002</v>
      </c>
      <c r="R17" s="2">
        <v>0.23442839112945332</v>
      </c>
      <c r="S17" s="2">
        <v>-0.26203033240805229</v>
      </c>
      <c r="T17" s="2">
        <v>-0.17723261584440761</v>
      </c>
      <c r="U17" s="2">
        <v>-0.68902367433363909</v>
      </c>
      <c r="V17" s="2">
        <v>1.8</v>
      </c>
      <c r="W17" s="2">
        <v>2</v>
      </c>
      <c r="X17" s="2">
        <v>49.6</v>
      </c>
      <c r="Y17" s="2">
        <v>20.399999999999999</v>
      </c>
      <c r="Z17" s="2">
        <v>53</v>
      </c>
      <c r="AA17" s="2">
        <v>19.600000000000001</v>
      </c>
      <c r="AB17" s="2">
        <v>82</v>
      </c>
      <c r="AC17" s="2">
        <v>82</v>
      </c>
      <c r="AD17" s="2">
        <v>13666.666666666666</v>
      </c>
      <c r="AE17" s="2">
        <v>13666.666666666666</v>
      </c>
      <c r="AF17" s="2">
        <v>81</v>
      </c>
      <c r="AG17" s="2">
        <v>29</v>
      </c>
      <c r="AH17" s="2">
        <v>5.8</v>
      </c>
      <c r="AI17" s="2">
        <v>13500</v>
      </c>
      <c r="AJ17" s="2">
        <v>4833.333333333333</v>
      </c>
      <c r="AK17" s="2">
        <v>966.66666666666663</v>
      </c>
      <c r="AL17" s="2">
        <v>80</v>
      </c>
      <c r="AM17" s="2">
        <v>44</v>
      </c>
      <c r="AN17" s="2">
        <v>9.9</v>
      </c>
      <c r="AO17" s="2">
        <v>13333.333333333334</v>
      </c>
      <c r="AP17" s="2">
        <v>7333.333333333333</v>
      </c>
      <c r="AQ17" s="2">
        <v>1650</v>
      </c>
      <c r="AR17" s="2">
        <v>4833.333333333333</v>
      </c>
      <c r="AS17" s="2">
        <v>7333.333333333333</v>
      </c>
    </row>
    <row r="18" spans="1:45" x14ac:dyDescent="0.25">
      <c r="A18" t="s">
        <v>60</v>
      </c>
      <c r="B18" s="3">
        <v>-0.52574895353478879</v>
      </c>
      <c r="C18" s="3">
        <v>-0.39545341478612273</v>
      </c>
      <c r="D18" s="3">
        <v>-0.66017012178870893</v>
      </c>
      <c r="E18" s="3">
        <v>-0.56099724826960229</v>
      </c>
      <c r="F18" s="3">
        <v>0.18433371100648677</v>
      </c>
      <c r="G18" s="3">
        <v>1.029816058168791</v>
      </c>
      <c r="H18" s="3">
        <v>2.1046595457760442</v>
      </c>
      <c r="I18" s="2">
        <f t="shared" si="0"/>
        <v>1.5672378019724176</v>
      </c>
      <c r="J18" s="2">
        <v>1.7722847074477239</v>
      </c>
      <c r="K18" s="2">
        <f t="shared" si="1"/>
        <v>1.9384721266118841</v>
      </c>
      <c r="L18" s="2">
        <v>1.4677181516297029</v>
      </c>
      <c r="M18" s="2">
        <v>1.4281062067503318</v>
      </c>
      <c r="N18" s="2">
        <v>-0.16735177048445862</v>
      </c>
      <c r="O18" s="2">
        <v>-9.7163770263119273E-2</v>
      </c>
      <c r="P18" s="2">
        <v>-0.82982145118329964</v>
      </c>
      <c r="Q18" s="2">
        <v>-0.8298214511833002</v>
      </c>
      <c r="R18" s="2">
        <v>0.23442839112945332</v>
      </c>
      <c r="S18" s="2">
        <v>-0.26517450490760036</v>
      </c>
      <c r="T18" s="2">
        <v>-0.17723261584440761</v>
      </c>
      <c r="U18" s="2">
        <v>-0.68902367433363909</v>
      </c>
      <c r="V18" s="2">
        <v>1.7</v>
      </c>
      <c r="W18" s="2">
        <v>1.88</v>
      </c>
      <c r="X18" s="2">
        <v>49.6</v>
      </c>
      <c r="Y18" s="2">
        <v>20.399999999999999</v>
      </c>
      <c r="Z18" s="2">
        <v>53</v>
      </c>
      <c r="AA18" s="2">
        <v>19.600000000000001</v>
      </c>
      <c r="AB18" s="2">
        <v>82</v>
      </c>
      <c r="AC18" s="2">
        <v>82</v>
      </c>
      <c r="AD18" s="2">
        <v>13666.666666666666</v>
      </c>
      <c r="AE18" s="2">
        <v>13666.666666666666</v>
      </c>
      <c r="AF18" s="2">
        <v>81</v>
      </c>
      <c r="AG18" s="2">
        <v>29</v>
      </c>
      <c r="AH18" s="2">
        <v>5.8</v>
      </c>
      <c r="AI18" s="2">
        <v>13500</v>
      </c>
      <c r="AJ18" s="2">
        <v>4833.333333333333</v>
      </c>
      <c r="AK18" s="2">
        <v>966.66666666666663</v>
      </c>
      <c r="AL18" s="2">
        <v>80</v>
      </c>
      <c r="AM18" s="2">
        <v>44</v>
      </c>
      <c r="AN18" s="2">
        <v>9.9</v>
      </c>
      <c r="AO18" s="2">
        <v>13333.333333333334</v>
      </c>
      <c r="AP18" s="2">
        <v>7333.333333333333</v>
      </c>
      <c r="AQ18" s="2">
        <v>1650</v>
      </c>
      <c r="AR18" s="2">
        <v>4833.333333333333</v>
      </c>
      <c r="AS18" s="2">
        <v>7333.333333333333</v>
      </c>
    </row>
    <row r="19" spans="1:45" x14ac:dyDescent="0.25">
      <c r="A19" t="s">
        <v>60</v>
      </c>
      <c r="B19" s="3">
        <v>-0.52130062004003896</v>
      </c>
      <c r="C19" s="3">
        <v>-0.46100036957342427</v>
      </c>
      <c r="D19" s="3">
        <v>-0.667001531429253</v>
      </c>
      <c r="E19" s="3">
        <v>-0.71060225017941714</v>
      </c>
      <c r="F19" s="3">
        <v>0.1837382802461924</v>
      </c>
      <c r="G19" s="3">
        <v>1.029816058168791</v>
      </c>
      <c r="H19" s="3">
        <v>2.1046595457760442</v>
      </c>
      <c r="I19" s="2">
        <f t="shared" si="0"/>
        <v>1.5672378019724176</v>
      </c>
      <c r="J19" s="2">
        <v>1.7722847074477239</v>
      </c>
      <c r="K19" s="2">
        <f t="shared" si="1"/>
        <v>1.9384721266118841</v>
      </c>
      <c r="L19" s="2">
        <v>1.4677181516297029</v>
      </c>
      <c r="M19" s="2">
        <v>1.4281062067503318</v>
      </c>
      <c r="N19" s="2">
        <v>-0.18550326162406888</v>
      </c>
      <c r="O19" s="2">
        <v>-0.19431025965295715</v>
      </c>
      <c r="P19" s="2">
        <v>-0.82982145118329964</v>
      </c>
      <c r="Q19" s="2">
        <v>-0.8298214511833002</v>
      </c>
      <c r="R19" s="2">
        <v>0.23442839112945332</v>
      </c>
      <c r="S19" s="2">
        <v>-0.27847677317491626</v>
      </c>
      <c r="T19" s="2">
        <v>-0.17723261584440761</v>
      </c>
      <c r="U19" s="2">
        <v>-0.68902367433363909</v>
      </c>
      <c r="V19" s="2">
        <v>1.6</v>
      </c>
      <c r="W19" s="2">
        <v>1.91</v>
      </c>
      <c r="X19" s="2">
        <v>49.6</v>
      </c>
      <c r="Y19" s="2">
        <v>20.399999999999999</v>
      </c>
      <c r="Z19" s="2">
        <v>53</v>
      </c>
      <c r="AA19" s="2">
        <v>19.600000000000001</v>
      </c>
      <c r="AB19" s="2">
        <v>82</v>
      </c>
      <c r="AC19" s="2">
        <v>82</v>
      </c>
      <c r="AD19" s="2">
        <v>13666.666666666666</v>
      </c>
      <c r="AE19" s="2">
        <v>13666.666666666666</v>
      </c>
      <c r="AF19" s="2">
        <v>81</v>
      </c>
      <c r="AG19" s="2">
        <v>29</v>
      </c>
      <c r="AH19" s="2">
        <v>5.8</v>
      </c>
      <c r="AI19" s="2">
        <v>13500</v>
      </c>
      <c r="AJ19" s="2">
        <v>4833.333333333333</v>
      </c>
      <c r="AK19" s="2">
        <v>966.66666666666663</v>
      </c>
      <c r="AL19" s="2">
        <v>80</v>
      </c>
      <c r="AM19" s="2">
        <v>44</v>
      </c>
      <c r="AN19" s="2">
        <v>9.9</v>
      </c>
      <c r="AO19" s="2">
        <v>13333.333333333334</v>
      </c>
      <c r="AP19" s="2">
        <v>7333.333333333333</v>
      </c>
      <c r="AQ19" s="2">
        <v>1650</v>
      </c>
      <c r="AR19" s="2">
        <v>4833.333333333333</v>
      </c>
      <c r="AS19" s="2">
        <v>7333.333333333333</v>
      </c>
    </row>
    <row r="20" spans="1:45" x14ac:dyDescent="0.25">
      <c r="A20" t="s">
        <v>61</v>
      </c>
      <c r="B20" s="3">
        <v>-0.61460163850381888</v>
      </c>
      <c r="C20" s="3">
        <v>-0.46763410232348268</v>
      </c>
      <c r="D20" s="3">
        <v>-0.78849813641164512</v>
      </c>
      <c r="E20" s="3">
        <v>-0.7112341963785489</v>
      </c>
      <c r="F20" s="3">
        <v>0.7822525212633934</v>
      </c>
      <c r="G20" s="3">
        <v>0.59884040582324172</v>
      </c>
      <c r="H20" s="3">
        <v>2.0267923836413204</v>
      </c>
      <c r="I20" s="2">
        <f t="shared" si="0"/>
        <v>1.3128163947322811</v>
      </c>
      <c r="J20" s="2">
        <v>3.1168508563199189</v>
      </c>
      <c r="K20" s="2">
        <f t="shared" si="1"/>
        <v>2.5718216199806196</v>
      </c>
      <c r="L20" s="2">
        <v>3.0617899640749342</v>
      </c>
      <c r="M20" s="2">
        <v>2.4166732543418332</v>
      </c>
      <c r="N20" s="2">
        <v>-0.11520748684703228</v>
      </c>
      <c r="O20" s="2">
        <v>-0.13664911756350442</v>
      </c>
      <c r="P20" s="2">
        <v>-0.40546141300053556</v>
      </c>
      <c r="Q20" s="2">
        <v>-0.40546141300053606</v>
      </c>
      <c r="R20" s="2">
        <v>0.61351625288268818</v>
      </c>
      <c r="S20" s="2">
        <v>-0.169933959188134</v>
      </c>
      <c r="T20" s="2">
        <v>1.1187808875178262</v>
      </c>
      <c r="U20" s="2">
        <v>-8.0274602834986539E-2</v>
      </c>
      <c r="V20" s="2">
        <v>1.7</v>
      </c>
      <c r="W20" s="2">
        <v>1.68</v>
      </c>
      <c r="X20" s="2">
        <v>50.6</v>
      </c>
      <c r="Y20" s="2">
        <v>17.8</v>
      </c>
      <c r="Z20" s="2">
        <v>54.4</v>
      </c>
      <c r="AA20" s="2">
        <v>19.600000000000001</v>
      </c>
      <c r="AB20" s="2">
        <v>67</v>
      </c>
      <c r="AC20" s="2">
        <v>66</v>
      </c>
      <c r="AD20" s="2">
        <v>11166.666666666666</v>
      </c>
      <c r="AE20" s="2">
        <v>11000</v>
      </c>
      <c r="AF20" s="2">
        <v>66</v>
      </c>
      <c r="AG20" s="2">
        <v>39</v>
      </c>
      <c r="AH20" s="2">
        <v>8.6999999999999993</v>
      </c>
      <c r="AI20" s="2">
        <v>11000</v>
      </c>
      <c r="AJ20" s="2">
        <v>6500</v>
      </c>
      <c r="AK20" s="2">
        <v>1450</v>
      </c>
      <c r="AL20" s="2">
        <v>52</v>
      </c>
      <c r="AM20" s="2">
        <v>40</v>
      </c>
      <c r="AN20" s="2">
        <v>8.6999999999999993</v>
      </c>
      <c r="AO20" s="2">
        <v>8666.6666666666661</v>
      </c>
      <c r="AP20" s="2">
        <v>6666.666666666667</v>
      </c>
      <c r="AQ20" s="2">
        <v>1450</v>
      </c>
      <c r="AR20" s="2">
        <v>6500</v>
      </c>
      <c r="AS20" s="2">
        <v>6666.666666666667</v>
      </c>
    </row>
    <row r="21" spans="1:45" x14ac:dyDescent="0.25">
      <c r="A21" t="s">
        <v>61</v>
      </c>
      <c r="B21" s="3">
        <v>-0.63531398921816762</v>
      </c>
      <c r="C21" s="3">
        <v>-0.49998374728618683</v>
      </c>
      <c r="D21" s="3">
        <v>-0.81123707873338358</v>
      </c>
      <c r="E21" s="3">
        <v>-0.69469775453868676</v>
      </c>
      <c r="F21" s="3">
        <v>0.53931677106334019</v>
      </c>
      <c r="G21" s="3">
        <v>0.59884040582324172</v>
      </c>
      <c r="H21" s="3">
        <v>2.0267923836413204</v>
      </c>
      <c r="I21" s="2">
        <f t="shared" si="0"/>
        <v>1.3128163947322811</v>
      </c>
      <c r="J21" s="2">
        <v>3.1168508563199189</v>
      </c>
      <c r="K21" s="2">
        <f t="shared" si="1"/>
        <v>2.5718216199806196</v>
      </c>
      <c r="L21" s="2">
        <v>3.0617899640749342</v>
      </c>
      <c r="M21" s="2">
        <v>2.4166732543418332</v>
      </c>
      <c r="N21" s="2">
        <v>-0.18451318028918035</v>
      </c>
      <c r="O21" s="2">
        <v>-0.19775739314743476</v>
      </c>
      <c r="P21" s="2">
        <v>-0.40546141300053556</v>
      </c>
      <c r="Q21" s="2">
        <v>-0.40546141300053606</v>
      </c>
      <c r="R21" s="2">
        <v>0.61351625288268818</v>
      </c>
      <c r="S21" s="2">
        <v>-0.22742595954043654</v>
      </c>
      <c r="T21" s="2">
        <v>1.1187808875178262</v>
      </c>
      <c r="U21" s="2">
        <v>-8.0274602834986539E-2</v>
      </c>
      <c r="V21" s="2">
        <v>1.8</v>
      </c>
      <c r="W21" s="2">
        <v>1.82</v>
      </c>
      <c r="X21" s="2">
        <v>50.6</v>
      </c>
      <c r="Y21" s="2">
        <v>17.8</v>
      </c>
      <c r="Z21" s="2">
        <v>54.4</v>
      </c>
      <c r="AA21" s="2">
        <v>19.600000000000001</v>
      </c>
      <c r="AB21" s="2">
        <v>67</v>
      </c>
      <c r="AC21" s="2">
        <v>66</v>
      </c>
      <c r="AD21" s="2">
        <v>11166.666666666666</v>
      </c>
      <c r="AE21" s="2">
        <v>11000</v>
      </c>
      <c r="AF21" s="2">
        <v>66</v>
      </c>
      <c r="AG21" s="2">
        <v>39</v>
      </c>
      <c r="AH21" s="2">
        <v>8.6999999999999993</v>
      </c>
      <c r="AI21" s="2">
        <v>11000</v>
      </c>
      <c r="AJ21" s="2">
        <v>6500</v>
      </c>
      <c r="AK21" s="2">
        <v>1450</v>
      </c>
      <c r="AL21" s="2">
        <v>52</v>
      </c>
      <c r="AM21" s="2">
        <v>40</v>
      </c>
      <c r="AN21" s="2">
        <v>8.6999999999999993</v>
      </c>
      <c r="AO21" s="2">
        <v>8666.6666666666661</v>
      </c>
      <c r="AP21" s="2">
        <v>6666.666666666667</v>
      </c>
      <c r="AQ21" s="2">
        <v>1450</v>
      </c>
      <c r="AR21" s="2">
        <v>6500</v>
      </c>
      <c r="AS21" s="2">
        <v>6666.666666666667</v>
      </c>
    </row>
    <row r="22" spans="1:45" x14ac:dyDescent="0.25">
      <c r="A22" t="s">
        <v>61</v>
      </c>
      <c r="B22" s="3">
        <v>-0.60233212295109739</v>
      </c>
      <c r="C22" s="3">
        <v>-0.62516275770359597</v>
      </c>
      <c r="D22" s="3">
        <v>-0.7593814137478675</v>
      </c>
      <c r="E22" s="3">
        <v>-0.94171179030797048</v>
      </c>
      <c r="F22" s="3">
        <v>0.7227732413868575</v>
      </c>
      <c r="G22" s="3">
        <v>0.59884040582324172</v>
      </c>
      <c r="H22" s="3">
        <v>2.0267923836413204</v>
      </c>
      <c r="I22" s="2">
        <f t="shared" si="0"/>
        <v>1.3128163947322811</v>
      </c>
      <c r="J22" s="2">
        <v>3.1168508563199189</v>
      </c>
      <c r="K22" s="2">
        <f t="shared" si="1"/>
        <v>2.5718216199806196</v>
      </c>
      <c r="L22" s="2">
        <v>3.0617899640749342</v>
      </c>
      <c r="M22" s="2">
        <v>2.4166732543418332</v>
      </c>
      <c r="N22" s="2">
        <v>-0.22015610834514396</v>
      </c>
      <c r="O22" s="2">
        <v>-0.19963764778078649</v>
      </c>
      <c r="P22" s="2">
        <v>-0.40546141300053556</v>
      </c>
      <c r="Q22" s="2">
        <v>-0.40546141300053606</v>
      </c>
      <c r="R22" s="2">
        <v>0.61351625288268818</v>
      </c>
      <c r="S22" s="2">
        <v>-0.25699327400733529</v>
      </c>
      <c r="T22" s="2">
        <v>1.1187808875178262</v>
      </c>
      <c r="U22" s="2">
        <v>-8.0274602834986539E-2</v>
      </c>
      <c r="V22" s="2">
        <v>1.85</v>
      </c>
      <c r="W22" s="2">
        <v>1.89</v>
      </c>
      <c r="X22" s="2">
        <v>50.6</v>
      </c>
      <c r="Y22" s="2">
        <v>17.8</v>
      </c>
      <c r="Z22" s="2">
        <v>54.4</v>
      </c>
      <c r="AA22" s="2">
        <v>19.600000000000001</v>
      </c>
      <c r="AB22" s="2">
        <v>67</v>
      </c>
      <c r="AC22" s="2">
        <v>66</v>
      </c>
      <c r="AD22" s="2">
        <v>11166.666666666666</v>
      </c>
      <c r="AE22" s="2">
        <v>11000</v>
      </c>
      <c r="AF22" s="2">
        <v>66</v>
      </c>
      <c r="AG22" s="2">
        <v>39</v>
      </c>
      <c r="AH22" s="2">
        <v>8.6999999999999993</v>
      </c>
      <c r="AI22" s="2">
        <v>11000</v>
      </c>
      <c r="AJ22" s="2">
        <v>6500</v>
      </c>
      <c r="AK22" s="2">
        <v>1450</v>
      </c>
      <c r="AL22" s="2">
        <v>52</v>
      </c>
      <c r="AM22" s="2">
        <v>40</v>
      </c>
      <c r="AN22" s="2">
        <v>8.6999999999999993</v>
      </c>
      <c r="AO22" s="2">
        <v>8666.6666666666661</v>
      </c>
      <c r="AP22" s="2">
        <v>6666.666666666667</v>
      </c>
      <c r="AQ22" s="2">
        <v>1450</v>
      </c>
      <c r="AR22" s="2">
        <v>6500</v>
      </c>
      <c r="AS22" s="2">
        <v>6666.666666666667</v>
      </c>
    </row>
    <row r="23" spans="1:45" x14ac:dyDescent="0.25">
      <c r="A23" t="s">
        <v>61</v>
      </c>
      <c r="B23" s="3">
        <v>-0.51246283590345132</v>
      </c>
      <c r="C23" s="3">
        <v>-0.47904611326192331</v>
      </c>
      <c r="D23" s="3">
        <v>-0.67834093749041613</v>
      </c>
      <c r="E23" s="3">
        <v>-0.74370559531808633</v>
      </c>
      <c r="F23" s="3">
        <v>-8.5007937916646396E-3</v>
      </c>
      <c r="G23" s="3">
        <v>-0.69408655121340568</v>
      </c>
      <c r="H23" s="3">
        <v>0.2942480261437182</v>
      </c>
      <c r="I23" s="2">
        <f t="shared" si="0"/>
        <v>-0.19991926253484374</v>
      </c>
      <c r="J23" s="2">
        <v>1.1084051714420777</v>
      </c>
      <c r="K23" s="2">
        <f t="shared" si="1"/>
        <v>0.70132659879289794</v>
      </c>
      <c r="L23" s="2">
        <v>0.92180314736763735</v>
      </c>
      <c r="M23" s="2">
        <v>0.52191974645812211</v>
      </c>
      <c r="N23" s="2">
        <v>-9.5735887260903985E-2</v>
      </c>
      <c r="O23" s="2">
        <v>-0.19117650193070451</v>
      </c>
      <c r="P23" s="2">
        <v>0.62193657417878823</v>
      </c>
      <c r="Q23" s="2">
        <v>0.62193657417878678</v>
      </c>
      <c r="R23" s="2">
        <v>-0.1000608986528131</v>
      </c>
      <c r="S23" s="2">
        <v>-1.115828669896583E-2</v>
      </c>
      <c r="T23" s="2">
        <v>0.8487780743173613</v>
      </c>
      <c r="U23" s="2">
        <v>-8.0274602834986539E-2</v>
      </c>
      <c r="V23" s="2">
        <v>1.5</v>
      </c>
      <c r="W23" s="2">
        <v>1.91</v>
      </c>
      <c r="X23" s="2">
        <v>39.4</v>
      </c>
      <c r="Y23" s="2">
        <v>17.2</v>
      </c>
      <c r="Z23" s="2">
        <v>49.4</v>
      </c>
      <c r="AA23" s="2">
        <v>20</v>
      </c>
      <c r="AB23" s="2">
        <v>80</v>
      </c>
      <c r="AC23" s="2">
        <v>77</v>
      </c>
      <c r="AD23" s="2">
        <v>13333.333333333334</v>
      </c>
      <c r="AE23" s="2">
        <v>12833.333333333334</v>
      </c>
      <c r="AF23" s="2">
        <v>74</v>
      </c>
      <c r="AG23" s="2">
        <v>21</v>
      </c>
      <c r="AH23" s="2">
        <v>4.5999999999999996</v>
      </c>
      <c r="AI23" s="2">
        <v>12333.333333333334</v>
      </c>
      <c r="AJ23" s="2">
        <v>3500</v>
      </c>
      <c r="AK23" s="2">
        <v>766.66666666666663</v>
      </c>
      <c r="AL23" s="2">
        <v>83</v>
      </c>
      <c r="AM23" s="2">
        <v>41</v>
      </c>
      <c r="AN23" s="2">
        <v>7.9</v>
      </c>
      <c r="AO23" s="2">
        <v>13833.333333333334</v>
      </c>
      <c r="AP23" s="2">
        <v>6833.333333333333</v>
      </c>
      <c r="AQ23" s="2">
        <v>1316.6666666666667</v>
      </c>
      <c r="AR23" s="2">
        <v>3500</v>
      </c>
      <c r="AS23" s="2">
        <v>6833.333333333333</v>
      </c>
    </row>
    <row r="24" spans="1:45" x14ac:dyDescent="0.25">
      <c r="A24" t="s">
        <v>61</v>
      </c>
      <c r="B24" s="3">
        <v>-0.39694111171656171</v>
      </c>
      <c r="C24" s="3">
        <v>-0.41073569407645449</v>
      </c>
      <c r="D24" s="3">
        <v>-0.38367908514563953</v>
      </c>
      <c r="E24" s="3">
        <v>-0.49770762990819084</v>
      </c>
      <c r="F24" s="3">
        <v>-7.1398091967064103E-3</v>
      </c>
      <c r="G24" s="3">
        <v>-0.69408655121340568</v>
      </c>
      <c r="H24" s="3">
        <v>0.2942480261437182</v>
      </c>
      <c r="I24" s="2">
        <f t="shared" si="0"/>
        <v>-0.19991926253484374</v>
      </c>
      <c r="J24" s="2">
        <v>1.1084051714420777</v>
      </c>
      <c r="K24" s="2">
        <f t="shared" si="1"/>
        <v>0.70132659879289794</v>
      </c>
      <c r="L24" s="2">
        <v>0.92180314736763735</v>
      </c>
      <c r="M24" s="2">
        <v>0.52191974645812211</v>
      </c>
      <c r="N24" s="2">
        <v>-6.1413067651460387E-2</v>
      </c>
      <c r="O24" s="2">
        <v>-5.7678422962734163E-2</v>
      </c>
      <c r="P24" s="2">
        <v>0.62193657417878823</v>
      </c>
      <c r="Q24" s="2">
        <v>0.62193657417878678</v>
      </c>
      <c r="R24" s="2">
        <v>-0.1000608986528131</v>
      </c>
      <c r="S24" s="2">
        <v>2.5349049545779559E-2</v>
      </c>
      <c r="T24" s="2">
        <v>0.8487780743173613</v>
      </c>
      <c r="U24" s="2">
        <v>-8.0274602834986539E-2</v>
      </c>
      <c r="V24" s="2">
        <v>1.8</v>
      </c>
      <c r="W24" s="2">
        <v>2.02</v>
      </c>
      <c r="X24" s="2">
        <v>39.4</v>
      </c>
      <c r="Y24" s="2">
        <v>17.2</v>
      </c>
      <c r="Z24" s="2">
        <v>49.4</v>
      </c>
      <c r="AA24" s="2">
        <v>20</v>
      </c>
      <c r="AB24" s="2">
        <v>80</v>
      </c>
      <c r="AC24" s="2">
        <v>77</v>
      </c>
      <c r="AD24" s="2">
        <v>13333.333333333334</v>
      </c>
      <c r="AE24" s="2">
        <v>12833.333333333334</v>
      </c>
      <c r="AF24" s="2">
        <v>74</v>
      </c>
      <c r="AG24" s="2">
        <v>21</v>
      </c>
      <c r="AH24" s="2">
        <v>4.5999999999999996</v>
      </c>
      <c r="AI24" s="2">
        <v>12333.333333333334</v>
      </c>
      <c r="AJ24" s="2">
        <v>3500</v>
      </c>
      <c r="AK24" s="2">
        <v>766.66666666666663</v>
      </c>
      <c r="AL24" s="2">
        <v>83</v>
      </c>
      <c r="AM24" s="2">
        <v>41</v>
      </c>
      <c r="AN24" s="2">
        <v>7.9</v>
      </c>
      <c r="AO24" s="2">
        <v>13833.333333333334</v>
      </c>
      <c r="AP24" s="2">
        <v>6833.333333333333</v>
      </c>
      <c r="AQ24" s="2">
        <v>1316.6666666666667</v>
      </c>
      <c r="AR24" s="2">
        <v>3500</v>
      </c>
      <c r="AS24" s="2">
        <v>6833.333333333333</v>
      </c>
    </row>
    <row r="25" spans="1:45" x14ac:dyDescent="0.25">
      <c r="A25" t="s">
        <v>61</v>
      </c>
      <c r="B25" s="3">
        <v>-0.55323434846548603</v>
      </c>
      <c r="C25" s="3">
        <v>-0.47719848749888394</v>
      </c>
      <c r="D25" s="3">
        <v>-0.71129140250052458</v>
      </c>
      <c r="E25" s="3">
        <v>-0.66982158479476006</v>
      </c>
      <c r="F25" s="3">
        <v>-0.23946413263294467</v>
      </c>
      <c r="G25" s="3">
        <v>-0.69408655121340568</v>
      </c>
      <c r="H25" s="3">
        <v>0.2942480261437182</v>
      </c>
      <c r="I25" s="2">
        <f t="shared" si="0"/>
        <v>-0.19991926253484374</v>
      </c>
      <c r="J25" s="2">
        <v>1.1084051714420777</v>
      </c>
      <c r="K25" s="2">
        <f t="shared" si="1"/>
        <v>0.70132659879289794</v>
      </c>
      <c r="L25" s="2">
        <v>0.92180314736763735</v>
      </c>
      <c r="M25" s="2">
        <v>0.52191974645812211</v>
      </c>
      <c r="N25" s="2">
        <v>-8.4844992577138595E-2</v>
      </c>
      <c r="O25" s="2">
        <v>-0.15670516698592291</v>
      </c>
      <c r="P25" s="2">
        <v>0.62193657417878823</v>
      </c>
      <c r="Q25" s="2">
        <v>0.62193657417878678</v>
      </c>
      <c r="R25" s="2">
        <v>-0.1000608986528131</v>
      </c>
      <c r="S25" s="2">
        <v>4.2577191715490001E-4</v>
      </c>
      <c r="T25" s="2">
        <v>0.8487780743173613</v>
      </c>
      <c r="U25" s="2">
        <v>-8.0274602834986539E-2</v>
      </c>
      <c r="V25" s="2">
        <v>1.65</v>
      </c>
      <c r="W25" s="2">
        <v>1.94</v>
      </c>
      <c r="X25" s="2">
        <v>39.4</v>
      </c>
      <c r="Y25" s="2">
        <v>17.2</v>
      </c>
      <c r="Z25" s="2">
        <v>49.4</v>
      </c>
      <c r="AA25" s="2">
        <v>20</v>
      </c>
      <c r="AB25" s="2">
        <v>80</v>
      </c>
      <c r="AC25" s="2">
        <v>77</v>
      </c>
      <c r="AD25" s="2">
        <v>13333.333333333334</v>
      </c>
      <c r="AE25" s="2">
        <v>12833.333333333334</v>
      </c>
      <c r="AF25" s="2">
        <v>74</v>
      </c>
      <c r="AG25" s="2">
        <v>21</v>
      </c>
      <c r="AH25" s="2">
        <v>4.5999999999999996</v>
      </c>
      <c r="AI25" s="2">
        <v>12333.333333333334</v>
      </c>
      <c r="AJ25" s="2">
        <v>3500</v>
      </c>
      <c r="AK25" s="2">
        <v>766.66666666666663</v>
      </c>
      <c r="AL25" s="2">
        <v>83</v>
      </c>
      <c r="AM25" s="2">
        <v>41</v>
      </c>
      <c r="AN25" s="2">
        <v>7.9</v>
      </c>
      <c r="AO25" s="2">
        <v>13833.333333333334</v>
      </c>
      <c r="AP25" s="2">
        <v>6833.333333333333</v>
      </c>
      <c r="AQ25" s="2">
        <v>1316.6666666666667</v>
      </c>
      <c r="AR25" s="2">
        <v>3500</v>
      </c>
      <c r="AS25" s="2">
        <v>6833.333333333333</v>
      </c>
    </row>
    <row r="26" spans="1:45" x14ac:dyDescent="0.25">
      <c r="A26" t="s">
        <v>61</v>
      </c>
      <c r="B26" s="3">
        <v>-0.55532069903151993</v>
      </c>
      <c r="C26" s="3">
        <v>-0.55468226371702134</v>
      </c>
      <c r="D26" s="3">
        <v>-0.70750762127576405</v>
      </c>
      <c r="E26" s="3">
        <v>-0.81267291984931134</v>
      </c>
      <c r="F26" s="3">
        <v>-0.65720134174795242</v>
      </c>
      <c r="G26" s="3">
        <v>-0.87879040221864102</v>
      </c>
      <c r="H26" s="3">
        <v>-0.94189317274502038</v>
      </c>
      <c r="I26" s="2">
        <f t="shared" si="0"/>
        <v>-0.9103417874818307</v>
      </c>
      <c r="J26" s="2">
        <v>-0.15212559312560492</v>
      </c>
      <c r="K26" s="2">
        <f t="shared" si="1"/>
        <v>-0.54700938293531265</v>
      </c>
      <c r="L26" s="2">
        <v>0.23031080863568762</v>
      </c>
      <c r="M26" s="2">
        <v>0.83771199777207406</v>
      </c>
      <c r="N26" s="2">
        <v>-7.9894585902698059E-2</v>
      </c>
      <c r="O26" s="2">
        <v>-0.1692401978749343</v>
      </c>
      <c r="P26" s="2">
        <v>1.8898625182228991E-2</v>
      </c>
      <c r="Q26" s="2">
        <v>1.889862518222845E-2</v>
      </c>
      <c r="R26" s="2">
        <v>-0.81363805018831348</v>
      </c>
      <c r="S26" s="2">
        <v>-8.01990745015288E-2</v>
      </c>
      <c r="T26" s="2">
        <v>0.8487780743173613</v>
      </c>
      <c r="U26" s="2">
        <v>-2.9500916541857793</v>
      </c>
      <c r="V26" s="2">
        <v>2.1</v>
      </c>
      <c r="W26" s="2">
        <v>1.93</v>
      </c>
      <c r="X26" s="2">
        <v>52.6</v>
      </c>
      <c r="Y26" s="2">
        <v>16.8</v>
      </c>
      <c r="Z26" s="2">
        <v>51.6</v>
      </c>
      <c r="AA26" s="2">
        <v>18.600000000000001</v>
      </c>
      <c r="AB26" s="2">
        <v>97</v>
      </c>
      <c r="AC26" s="2">
        <v>105</v>
      </c>
      <c r="AD26" s="2">
        <v>16166.666666666666</v>
      </c>
      <c r="AE26" s="2">
        <v>17500</v>
      </c>
      <c r="AF26" s="2">
        <v>92</v>
      </c>
      <c r="AG26" s="2">
        <v>52</v>
      </c>
      <c r="AH26" s="2">
        <v>12.7</v>
      </c>
      <c r="AI26" s="2">
        <v>15333.333333333334</v>
      </c>
      <c r="AJ26" s="2">
        <v>8666.6666666666661</v>
      </c>
      <c r="AK26" s="2">
        <v>2116.6666666666665</v>
      </c>
      <c r="AL26" s="2">
        <v>101</v>
      </c>
      <c r="AM26" s="2">
        <v>46</v>
      </c>
      <c r="AN26" s="2">
        <v>11.3</v>
      </c>
      <c r="AO26" s="2">
        <v>16833.333333333332</v>
      </c>
      <c r="AP26" s="2">
        <v>7666.666666666667</v>
      </c>
      <c r="AQ26" s="2">
        <v>1883.3333333333333</v>
      </c>
      <c r="AR26" s="2">
        <v>8666.6666666666661</v>
      </c>
      <c r="AS26" s="2">
        <v>7666.666666666667</v>
      </c>
    </row>
    <row r="27" spans="1:45" x14ac:dyDescent="0.25">
      <c r="A27" t="s">
        <v>61</v>
      </c>
      <c r="B27" s="3">
        <v>-0.47048483441626371</v>
      </c>
      <c r="C27" s="3">
        <v>-0.5299171979199101</v>
      </c>
      <c r="D27" s="3">
        <v>-0.61817271457001777</v>
      </c>
      <c r="E27" s="3">
        <v>-0.80211518469731347</v>
      </c>
      <c r="F27" s="3">
        <v>-0.77824390916205488</v>
      </c>
      <c r="G27" s="3">
        <v>-0.87879040221864102</v>
      </c>
      <c r="H27" s="3">
        <v>-0.94189317274502038</v>
      </c>
      <c r="I27" s="2">
        <f t="shared" si="0"/>
        <v>-0.9103417874818307</v>
      </c>
      <c r="J27" s="2">
        <v>-0.15212559312560492</v>
      </c>
      <c r="K27" s="2">
        <f t="shared" si="1"/>
        <v>-0.54700938293531265</v>
      </c>
      <c r="L27" s="2">
        <v>0.23031080863568762</v>
      </c>
      <c r="M27" s="2">
        <v>0.83771199777207406</v>
      </c>
      <c r="N27" s="2">
        <v>-7.9894585902700294E-2</v>
      </c>
      <c r="O27" s="2">
        <v>0.20305021952869934</v>
      </c>
      <c r="P27" s="2">
        <v>1.8898625182228991E-2</v>
      </c>
      <c r="Q27" s="2">
        <v>1.889862518222845E-2</v>
      </c>
      <c r="R27" s="2">
        <v>-0.81363805018831348</v>
      </c>
      <c r="S27" s="2">
        <v>-8.019907450152973E-2</v>
      </c>
      <c r="T27" s="2">
        <v>0.8487780743173613</v>
      </c>
      <c r="U27" s="2">
        <v>-2.9500916541857793</v>
      </c>
      <c r="V27" s="2">
        <v>1.95</v>
      </c>
      <c r="W27" s="2">
        <v>2.2000000000000002</v>
      </c>
      <c r="X27" s="2">
        <v>52.6</v>
      </c>
      <c r="Y27" s="2">
        <v>16.8</v>
      </c>
      <c r="Z27" s="2">
        <v>51.6</v>
      </c>
      <c r="AA27" s="2">
        <v>18.600000000000001</v>
      </c>
      <c r="AB27" s="2">
        <v>97</v>
      </c>
      <c r="AC27" s="2">
        <v>105</v>
      </c>
      <c r="AD27" s="2">
        <v>16166.666666666666</v>
      </c>
      <c r="AE27" s="2">
        <v>17500</v>
      </c>
      <c r="AF27" s="2">
        <v>92</v>
      </c>
      <c r="AG27" s="2">
        <v>52</v>
      </c>
      <c r="AH27" s="2">
        <v>12.7</v>
      </c>
      <c r="AI27" s="2">
        <v>15333.333333333334</v>
      </c>
      <c r="AJ27" s="2">
        <v>8666.6666666666661</v>
      </c>
      <c r="AK27" s="2">
        <v>2116.6666666666665</v>
      </c>
      <c r="AL27" s="2">
        <v>101</v>
      </c>
      <c r="AM27" s="2">
        <v>46</v>
      </c>
      <c r="AN27" s="2">
        <v>11.3</v>
      </c>
      <c r="AO27" s="2">
        <v>16833.333333333332</v>
      </c>
      <c r="AP27" s="2">
        <v>7666.666666666667</v>
      </c>
      <c r="AQ27" s="2">
        <v>1883.3333333333333</v>
      </c>
      <c r="AR27" s="2">
        <v>8666.6666666666661</v>
      </c>
      <c r="AS27" s="2">
        <v>7666.666666666667</v>
      </c>
    </row>
    <row r="28" spans="1:45" x14ac:dyDescent="0.25">
      <c r="A28" t="s">
        <v>61</v>
      </c>
      <c r="B28" s="3">
        <v>-0.33809837258260672</v>
      </c>
      <c r="C28" s="3">
        <v>-0.54724935614900239</v>
      </c>
      <c r="D28" s="3">
        <v>-0.32317307198736805</v>
      </c>
      <c r="E28" s="3">
        <v>-0.81785653082911769</v>
      </c>
      <c r="F28" s="3">
        <v>-0.81067362021379519</v>
      </c>
      <c r="G28" s="3">
        <v>-0.87879040221864102</v>
      </c>
      <c r="H28" s="3">
        <v>-0.94189317274502038</v>
      </c>
      <c r="I28" s="2">
        <f t="shared" si="0"/>
        <v>-0.9103417874818307</v>
      </c>
      <c r="J28" s="2">
        <v>-0.15212559312560492</v>
      </c>
      <c r="K28" s="2">
        <f t="shared" si="1"/>
        <v>-0.54700938293531265</v>
      </c>
      <c r="L28" s="2">
        <v>0.23031080863568762</v>
      </c>
      <c r="M28" s="2">
        <v>0.83771199777207406</v>
      </c>
      <c r="N28" s="2">
        <v>-0.15415068601928678</v>
      </c>
      <c r="O28" s="2">
        <v>-9.8730649124245146E-2</v>
      </c>
      <c r="P28" s="2">
        <v>1.8898625182228991E-2</v>
      </c>
      <c r="Q28" s="2">
        <v>1.889862518222845E-2</v>
      </c>
      <c r="R28" s="2">
        <v>-0.81363805018831348</v>
      </c>
      <c r="S28" s="2">
        <v>-0.14897784792913099</v>
      </c>
      <c r="T28" s="2">
        <v>0.8487780743173613</v>
      </c>
      <c r="U28" s="2">
        <v>-2.9500916541857793</v>
      </c>
      <c r="V28" s="2">
        <v>2.2000000000000002</v>
      </c>
      <c r="W28" s="2">
        <v>2.1</v>
      </c>
      <c r="X28" s="2">
        <v>52.6</v>
      </c>
      <c r="Y28" s="2">
        <v>16.8</v>
      </c>
      <c r="Z28" s="2">
        <v>51.6</v>
      </c>
      <c r="AA28" s="2">
        <v>18.600000000000001</v>
      </c>
      <c r="AB28" s="2">
        <v>97</v>
      </c>
      <c r="AC28" s="2">
        <v>105</v>
      </c>
      <c r="AD28" s="2">
        <v>16166.666666666666</v>
      </c>
      <c r="AE28" s="2">
        <v>17500</v>
      </c>
      <c r="AF28" s="2">
        <v>92</v>
      </c>
      <c r="AG28" s="2">
        <v>52</v>
      </c>
      <c r="AH28" s="2">
        <v>12.7</v>
      </c>
      <c r="AI28" s="2">
        <v>15333.333333333334</v>
      </c>
      <c r="AJ28" s="2">
        <v>8666.6666666666661</v>
      </c>
      <c r="AK28" s="2">
        <v>2116.6666666666665</v>
      </c>
      <c r="AL28" s="2">
        <v>101</v>
      </c>
      <c r="AM28" s="2">
        <v>46</v>
      </c>
      <c r="AN28" s="2">
        <v>11.3</v>
      </c>
      <c r="AO28" s="2">
        <v>16833.333333333332</v>
      </c>
      <c r="AP28" s="2">
        <v>7666.666666666667</v>
      </c>
      <c r="AQ28" s="2">
        <v>1883.3333333333333</v>
      </c>
      <c r="AR28" s="2">
        <v>8666.6666666666661</v>
      </c>
      <c r="AS28" s="2">
        <v>7666.666666666667</v>
      </c>
    </row>
    <row r="29" spans="1:45" x14ac:dyDescent="0.25">
      <c r="A29" t="s">
        <v>62</v>
      </c>
      <c r="B29" s="3">
        <v>-0.59221899959068836</v>
      </c>
      <c r="C29" s="3">
        <v>-0.5185337195209242</v>
      </c>
      <c r="D29" s="3">
        <v>-0.77078537134663483</v>
      </c>
      <c r="E29" s="3">
        <v>-0.79576422865522223</v>
      </c>
      <c r="F29" s="3">
        <v>0.33487136643945087</v>
      </c>
      <c r="G29" s="3">
        <v>0.78354425682847706</v>
      </c>
      <c r="H29" s="3">
        <v>1.2675875528277643</v>
      </c>
      <c r="I29" s="2">
        <f t="shared" si="0"/>
        <v>1.0255659048281207</v>
      </c>
      <c r="J29" s="2">
        <v>0.94873794126350453</v>
      </c>
      <c r="K29" s="2">
        <f t="shared" si="1"/>
        <v>1.1081627470456343</v>
      </c>
      <c r="L29" s="2">
        <v>1.329419683883313</v>
      </c>
      <c r="M29" s="2">
        <v>1.5791372834657003</v>
      </c>
      <c r="N29" s="2">
        <v>-9.375572459112691E-2</v>
      </c>
      <c r="O29" s="2">
        <v>-0.1319484809801259</v>
      </c>
      <c r="P29" s="2">
        <v>-0.94149514544192192</v>
      </c>
      <c r="Q29" s="2">
        <v>-0.94149514544192237</v>
      </c>
      <c r="R29" s="2">
        <v>0.23442839112945332</v>
      </c>
      <c r="S29" s="2">
        <v>-0.22679275813427779</v>
      </c>
      <c r="T29" s="2">
        <v>3.8769634715964903E-2</v>
      </c>
      <c r="U29" s="2">
        <v>1.4850801524472643</v>
      </c>
      <c r="V29" s="2">
        <v>1.5</v>
      </c>
      <c r="W29" s="2">
        <v>1.89</v>
      </c>
      <c r="X29" s="2">
        <v>52.6</v>
      </c>
      <c r="Y29" s="2">
        <v>18</v>
      </c>
      <c r="Z29" s="2">
        <v>50.4</v>
      </c>
      <c r="AA29" s="2">
        <v>17.399999999999999</v>
      </c>
      <c r="AB29" s="2">
        <v>86</v>
      </c>
      <c r="AC29" s="2">
        <v>84</v>
      </c>
      <c r="AD29" s="2">
        <v>14333.333333333334</v>
      </c>
      <c r="AE29" s="2">
        <v>14000</v>
      </c>
      <c r="AF29" s="2">
        <v>56</v>
      </c>
      <c r="AG29" s="2">
        <v>13</v>
      </c>
      <c r="AH29" s="2">
        <v>3.2</v>
      </c>
      <c r="AI29" s="2">
        <v>9333.3333333333339</v>
      </c>
      <c r="AJ29" s="2">
        <v>2166.6666666666665</v>
      </c>
      <c r="AK29" s="2">
        <v>533.33333333333337</v>
      </c>
      <c r="AL29" s="2">
        <v>79</v>
      </c>
      <c r="AM29" s="2">
        <v>26</v>
      </c>
      <c r="AN29" s="2">
        <v>4.7</v>
      </c>
      <c r="AO29" s="2">
        <v>13166.666666666666</v>
      </c>
      <c r="AP29" s="2">
        <v>4333.333333333333</v>
      </c>
      <c r="AQ29" s="2">
        <v>783.33333333333337</v>
      </c>
      <c r="AR29" s="2">
        <v>2166.6666666666665</v>
      </c>
      <c r="AS29" s="2">
        <v>4333.333333333333</v>
      </c>
    </row>
    <row r="30" spans="1:45" x14ac:dyDescent="0.25">
      <c r="A30" t="s">
        <v>62</v>
      </c>
      <c r="B30" s="3">
        <v>-0.32356890313744618</v>
      </c>
      <c r="C30" s="3">
        <v>-0.45344871025830435</v>
      </c>
      <c r="D30" s="3">
        <v>-0.53648804933798389</v>
      </c>
      <c r="E30" s="3">
        <v>-0.7071952134407975</v>
      </c>
      <c r="F30" s="3">
        <v>0.34444078937275113</v>
      </c>
      <c r="G30" s="3">
        <v>0.78354425682847706</v>
      </c>
      <c r="H30" s="3">
        <v>1.2675875528277643</v>
      </c>
      <c r="I30" s="2">
        <f t="shared" si="0"/>
        <v>1.0255659048281207</v>
      </c>
      <c r="J30" s="2">
        <v>0.94873794126350453</v>
      </c>
      <c r="K30" s="2">
        <f t="shared" si="1"/>
        <v>1.1081627470456343</v>
      </c>
      <c r="L30" s="2">
        <v>1.329419683883313</v>
      </c>
      <c r="M30" s="2">
        <v>1.5791372834657003</v>
      </c>
      <c r="N30" s="2">
        <v>-0.13995952021922842</v>
      </c>
      <c r="O30" s="2">
        <v>-0.14918414845251582</v>
      </c>
      <c r="P30" s="2">
        <v>-0.94149514544192192</v>
      </c>
      <c r="Q30" s="2">
        <v>-0.94149514544192237</v>
      </c>
      <c r="R30" s="2">
        <v>0.23442839112945332</v>
      </c>
      <c r="S30" s="2">
        <v>-0.25947737183149694</v>
      </c>
      <c r="T30" s="2">
        <v>3.8769634715964903E-2</v>
      </c>
      <c r="U30" s="2">
        <v>1.4850801524472643</v>
      </c>
      <c r="V30" s="2">
        <v>1.65</v>
      </c>
      <c r="W30" s="2">
        <v>1.77</v>
      </c>
      <c r="X30" s="2">
        <v>52.6</v>
      </c>
      <c r="Y30" s="2">
        <v>18</v>
      </c>
      <c r="Z30" s="2">
        <v>50.4</v>
      </c>
      <c r="AA30" s="2">
        <v>17.399999999999999</v>
      </c>
      <c r="AB30" s="2">
        <v>86</v>
      </c>
      <c r="AC30" s="2">
        <v>84</v>
      </c>
      <c r="AD30" s="2">
        <v>14333.333333333334</v>
      </c>
      <c r="AE30" s="2">
        <v>14000</v>
      </c>
      <c r="AF30" s="2">
        <v>56</v>
      </c>
      <c r="AG30" s="2">
        <v>13</v>
      </c>
      <c r="AH30" s="2">
        <v>3.2</v>
      </c>
      <c r="AI30" s="2">
        <v>9333.3333333333339</v>
      </c>
      <c r="AJ30" s="2">
        <v>2166.6666666666665</v>
      </c>
      <c r="AK30" s="2">
        <v>533.33333333333337</v>
      </c>
      <c r="AL30" s="2">
        <v>79</v>
      </c>
      <c r="AM30" s="2">
        <v>26</v>
      </c>
      <c r="AN30" s="2">
        <v>4.7</v>
      </c>
      <c r="AO30" s="2">
        <v>13166.666666666666</v>
      </c>
      <c r="AP30" s="2">
        <v>4333.333333333333</v>
      </c>
      <c r="AQ30" s="2">
        <v>783.33333333333337</v>
      </c>
      <c r="AR30" s="2">
        <v>2166.6666666666665</v>
      </c>
      <c r="AS30" s="2">
        <v>4333.333333333333</v>
      </c>
    </row>
    <row r="31" spans="1:45" x14ac:dyDescent="0.25">
      <c r="A31" t="s">
        <v>62</v>
      </c>
      <c r="B31" s="3">
        <v>-0.40670426367187984</v>
      </c>
      <c r="C31" s="3">
        <v>-4.607976813078507E-2</v>
      </c>
      <c r="D31" s="3">
        <v>-0.33978713451165282</v>
      </c>
      <c r="E31" s="3">
        <v>0.35479037420012394</v>
      </c>
      <c r="F31" s="3">
        <v>0.28277117491370368</v>
      </c>
      <c r="G31" s="3">
        <v>0.78354425682847706</v>
      </c>
      <c r="H31" s="3">
        <v>1.2675875528277643</v>
      </c>
      <c r="I31" s="2">
        <f t="shared" si="0"/>
        <v>1.0255659048281207</v>
      </c>
      <c r="J31" s="2">
        <v>0.94873794126350453</v>
      </c>
      <c r="K31" s="2">
        <f t="shared" si="1"/>
        <v>1.1081627470456343</v>
      </c>
      <c r="L31" s="2">
        <v>1.329419683883313</v>
      </c>
      <c r="M31" s="2">
        <v>1.5791372834657003</v>
      </c>
      <c r="N31" s="2">
        <v>-0.19078369541013676</v>
      </c>
      <c r="O31" s="2">
        <v>-0.22408095801435846</v>
      </c>
      <c r="P31" s="2">
        <v>-0.94149514544192192</v>
      </c>
      <c r="Q31" s="2">
        <v>-0.94149514544192237</v>
      </c>
      <c r="R31" s="2">
        <v>0.23442839112945332</v>
      </c>
      <c r="S31" s="2">
        <v>-0.29543044689843773</v>
      </c>
      <c r="T31" s="2">
        <v>3.8769634715964903E-2</v>
      </c>
      <c r="U31" s="2">
        <v>1.4850801524472643</v>
      </c>
      <c r="V31" s="2">
        <v>1.75</v>
      </c>
      <c r="W31" s="2">
        <v>1.64</v>
      </c>
      <c r="X31" s="2">
        <v>52.6</v>
      </c>
      <c r="Y31" s="2">
        <v>18</v>
      </c>
      <c r="Z31" s="2">
        <v>50.4</v>
      </c>
      <c r="AA31" s="2">
        <v>17.399999999999999</v>
      </c>
      <c r="AB31" s="2">
        <v>86</v>
      </c>
      <c r="AC31" s="2">
        <v>84</v>
      </c>
      <c r="AD31" s="2">
        <v>14333.333333333334</v>
      </c>
      <c r="AE31" s="2">
        <v>14000</v>
      </c>
      <c r="AF31" s="2">
        <v>56</v>
      </c>
      <c r="AG31" s="2">
        <v>13</v>
      </c>
      <c r="AH31" s="2">
        <v>3.2</v>
      </c>
      <c r="AI31" s="2">
        <v>9333.3333333333339</v>
      </c>
      <c r="AJ31" s="2">
        <v>2166.6666666666665</v>
      </c>
      <c r="AK31" s="2">
        <v>533.33333333333337</v>
      </c>
      <c r="AL31" s="2">
        <v>79</v>
      </c>
      <c r="AM31" s="2">
        <v>26</v>
      </c>
      <c r="AN31" s="2">
        <v>4.7</v>
      </c>
      <c r="AO31" s="2">
        <v>13166.666666666666</v>
      </c>
      <c r="AP31" s="2">
        <v>4333.333333333333</v>
      </c>
      <c r="AQ31" s="2">
        <v>783.33333333333337</v>
      </c>
      <c r="AR31" s="2">
        <v>2166.6666666666665</v>
      </c>
      <c r="AS31" s="2">
        <v>4333.333333333333</v>
      </c>
    </row>
    <row r="32" spans="1:45" x14ac:dyDescent="0.25">
      <c r="A32" t="s">
        <v>62</v>
      </c>
      <c r="B32" s="3">
        <v>-0.49124522503525425</v>
      </c>
      <c r="C32" s="3">
        <v>-0.47990186507907817</v>
      </c>
      <c r="D32" s="3">
        <v>-0.6364885501644244</v>
      </c>
      <c r="E32" s="3">
        <v>-0.63373508186313066</v>
      </c>
      <c r="F32" s="3">
        <v>1.2137696994023539</v>
      </c>
      <c r="G32" s="3">
        <v>-1.3508113547875757</v>
      </c>
      <c r="H32" s="3">
        <v>-0.49415699047035916</v>
      </c>
      <c r="I32" s="2">
        <f t="shared" si="0"/>
        <v>-0.92248417262896742</v>
      </c>
      <c r="J32" s="2">
        <v>0.52856101974094372</v>
      </c>
      <c r="K32" s="2">
        <f t="shared" si="1"/>
        <v>1.7202014635292279E-2</v>
      </c>
      <c r="L32" s="2">
        <v>1.0746593485610156</v>
      </c>
      <c r="M32" s="2">
        <v>0.91322753612975816</v>
      </c>
      <c r="N32" s="2">
        <v>-0.14755014378670292</v>
      </c>
      <c r="O32" s="2">
        <v>-0.19525038696963212</v>
      </c>
      <c r="P32" s="2">
        <v>-3.4361136694954601E-3</v>
      </c>
      <c r="Q32" s="2">
        <v>-3.4361136694960001E-3</v>
      </c>
      <c r="R32" s="2">
        <v>1.2824948324472194</v>
      </c>
      <c r="S32" s="2">
        <v>-0.145700988662776</v>
      </c>
      <c r="T32" s="2">
        <v>1.3887837007182919</v>
      </c>
      <c r="U32" s="2">
        <v>-0.42813121511993141</v>
      </c>
      <c r="V32" s="2">
        <v>1.6</v>
      </c>
      <c r="W32" s="2">
        <v>2.2000000000000002</v>
      </c>
      <c r="X32" s="2">
        <v>52.2</v>
      </c>
      <c r="Y32" s="2">
        <v>17.8</v>
      </c>
      <c r="Z32" s="2">
        <v>50.8</v>
      </c>
      <c r="AA32" s="2">
        <v>18</v>
      </c>
      <c r="AB32" s="2">
        <v>80</v>
      </c>
      <c r="AC32" s="2">
        <v>85</v>
      </c>
      <c r="AD32" s="2">
        <v>13333.333333333334</v>
      </c>
      <c r="AE32" s="2">
        <v>14166.666666666666</v>
      </c>
      <c r="AF32" s="2">
        <v>68</v>
      </c>
      <c r="AG32" s="2">
        <v>24</v>
      </c>
      <c r="AH32" s="2">
        <v>4.8</v>
      </c>
      <c r="AI32" s="2">
        <v>11333.333333333334</v>
      </c>
      <c r="AJ32" s="2">
        <v>4000</v>
      </c>
      <c r="AK32" s="2">
        <v>800</v>
      </c>
      <c r="AL32" s="2">
        <v>85</v>
      </c>
      <c r="AM32" s="2">
        <v>15</v>
      </c>
      <c r="AN32" s="2">
        <v>3.6</v>
      </c>
      <c r="AO32" s="2">
        <v>14166.666666666666</v>
      </c>
      <c r="AP32" s="2">
        <v>2500</v>
      </c>
      <c r="AQ32" s="2">
        <v>600</v>
      </c>
      <c r="AR32" s="2">
        <v>4000</v>
      </c>
      <c r="AS32" s="2">
        <v>2500</v>
      </c>
    </row>
    <row r="33" spans="1:45" x14ac:dyDescent="0.25">
      <c r="A33" t="s">
        <v>62</v>
      </c>
      <c r="B33" s="3">
        <v>-0.29709809846809637</v>
      </c>
      <c r="C33" s="3">
        <v>0.20403670235318733</v>
      </c>
      <c r="D33" s="3">
        <v>-0.25924229026553075</v>
      </c>
      <c r="E33" s="3">
        <v>-0.4353316178190112</v>
      </c>
      <c r="F33" s="3">
        <v>1.3483795819974462</v>
      </c>
      <c r="G33" s="3">
        <v>-1.3508113547875757</v>
      </c>
      <c r="H33" s="3">
        <v>-0.49415699047035916</v>
      </c>
      <c r="I33" s="2">
        <f t="shared" si="0"/>
        <v>-0.92248417262896742</v>
      </c>
      <c r="J33" s="2">
        <v>0.52856101974094372</v>
      </c>
      <c r="K33" s="2">
        <f t="shared" si="1"/>
        <v>1.7202014635292279E-2</v>
      </c>
      <c r="L33" s="2">
        <v>1.0746593485610156</v>
      </c>
      <c r="M33" s="2">
        <v>0.91322753612975816</v>
      </c>
      <c r="N33" s="2">
        <v>-7.6594314786407297E-2</v>
      </c>
      <c r="O33" s="2">
        <v>-0.18177522876394481</v>
      </c>
      <c r="P33" s="2">
        <v>-3.4361136694954601E-3</v>
      </c>
      <c r="Q33" s="2">
        <v>-3.4361136694960001E-3</v>
      </c>
      <c r="R33" s="2">
        <v>1.2824948324472194</v>
      </c>
      <c r="S33" s="2">
        <v>-8.0340159164971128E-2</v>
      </c>
      <c r="T33" s="2">
        <v>1.3887837007182919</v>
      </c>
      <c r="U33" s="2">
        <v>-0.42813121511993141</v>
      </c>
      <c r="V33" s="2">
        <v>1.7</v>
      </c>
      <c r="W33" s="2">
        <v>1.92</v>
      </c>
      <c r="X33" s="2">
        <v>52.2</v>
      </c>
      <c r="Y33" s="2">
        <v>17.8</v>
      </c>
      <c r="Z33" s="2">
        <v>50.8</v>
      </c>
      <c r="AA33" s="2">
        <v>18</v>
      </c>
      <c r="AB33" s="2">
        <v>80</v>
      </c>
      <c r="AC33" s="2">
        <v>85</v>
      </c>
      <c r="AD33" s="2">
        <v>13333.333333333334</v>
      </c>
      <c r="AE33" s="2">
        <v>14166.666666666666</v>
      </c>
      <c r="AF33" s="2">
        <v>68</v>
      </c>
      <c r="AG33" s="2">
        <v>24</v>
      </c>
      <c r="AH33" s="2">
        <v>4.8</v>
      </c>
      <c r="AI33" s="2">
        <v>11333.333333333334</v>
      </c>
      <c r="AJ33" s="2">
        <v>4000</v>
      </c>
      <c r="AK33" s="2">
        <v>800</v>
      </c>
      <c r="AL33" s="2">
        <v>85</v>
      </c>
      <c r="AM33" s="2">
        <v>15</v>
      </c>
      <c r="AN33" s="2">
        <v>3.6</v>
      </c>
      <c r="AO33" s="2">
        <v>14166.666666666666</v>
      </c>
      <c r="AP33" s="2">
        <v>2500</v>
      </c>
      <c r="AQ33" s="2">
        <v>600</v>
      </c>
      <c r="AR33" s="2">
        <v>4000</v>
      </c>
      <c r="AS33" s="2">
        <v>2500</v>
      </c>
    </row>
    <row r="34" spans="1:45" x14ac:dyDescent="0.25">
      <c r="A34" t="s">
        <v>62</v>
      </c>
      <c r="B34" s="3">
        <v>-0.31850328122477661</v>
      </c>
      <c r="C34" s="3">
        <v>-0.10382479704947192</v>
      </c>
      <c r="D34" s="3">
        <v>-0.12697309477819671</v>
      </c>
      <c r="E34" s="3">
        <v>0.1693198440100101</v>
      </c>
      <c r="F34" s="3">
        <v>0.97113166458244782</v>
      </c>
      <c r="G34" s="3">
        <v>-1.3508113547875757</v>
      </c>
      <c r="H34" s="3">
        <v>-0.49415699047035916</v>
      </c>
      <c r="I34" s="2">
        <f t="shared" si="0"/>
        <v>-0.92248417262896742</v>
      </c>
      <c r="J34" s="2">
        <v>0.52856101974094372</v>
      </c>
      <c r="K34" s="2">
        <f t="shared" si="1"/>
        <v>1.7202014635292279E-2</v>
      </c>
      <c r="L34" s="2">
        <v>1.0746593485610156</v>
      </c>
      <c r="M34" s="2">
        <v>0.91322753612975816</v>
      </c>
      <c r="N34" s="2">
        <v>-0.11718764951680723</v>
      </c>
      <c r="O34" s="2">
        <v>-0.16547968860822987</v>
      </c>
      <c r="P34" s="2">
        <v>-3.4361136694954601E-3</v>
      </c>
      <c r="Q34" s="2">
        <v>-3.4361136694960001E-3</v>
      </c>
      <c r="R34" s="2">
        <v>1.2824948324472194</v>
      </c>
      <c r="S34" s="2">
        <v>-0.1177326337148777</v>
      </c>
      <c r="T34" s="2">
        <v>1.3887837007182919</v>
      </c>
      <c r="U34" s="2">
        <v>-0.42813121511993141</v>
      </c>
      <c r="V34" s="2">
        <v>1.7</v>
      </c>
      <c r="W34" s="2">
        <v>1.7</v>
      </c>
      <c r="X34" s="2">
        <v>52.2</v>
      </c>
      <c r="Y34" s="2">
        <v>17.8</v>
      </c>
      <c r="Z34" s="2">
        <v>50.8</v>
      </c>
      <c r="AA34" s="2">
        <v>18</v>
      </c>
      <c r="AB34" s="2">
        <v>80</v>
      </c>
      <c r="AC34" s="2">
        <v>85</v>
      </c>
      <c r="AD34" s="2">
        <v>13333.333333333334</v>
      </c>
      <c r="AE34" s="2">
        <v>14166.666666666666</v>
      </c>
      <c r="AF34" s="2">
        <v>68</v>
      </c>
      <c r="AG34" s="2">
        <v>24</v>
      </c>
      <c r="AH34" s="2">
        <v>4.8</v>
      </c>
      <c r="AI34" s="2">
        <v>11333.333333333334</v>
      </c>
      <c r="AJ34" s="2">
        <v>4000</v>
      </c>
      <c r="AK34" s="2">
        <v>800</v>
      </c>
      <c r="AL34" s="2">
        <v>85</v>
      </c>
      <c r="AM34" s="2">
        <v>15</v>
      </c>
      <c r="AN34" s="2">
        <v>3.6</v>
      </c>
      <c r="AO34" s="2">
        <v>14166.666666666666</v>
      </c>
      <c r="AP34" s="2">
        <v>2500</v>
      </c>
      <c r="AQ34" s="2">
        <v>600</v>
      </c>
      <c r="AR34" s="2">
        <v>4000</v>
      </c>
      <c r="AS34" s="2">
        <v>2500</v>
      </c>
    </row>
    <row r="35" spans="1:45" x14ac:dyDescent="0.25">
      <c r="A35" t="s">
        <v>62</v>
      </c>
      <c r="B35" s="3">
        <v>-0.63108978550702099</v>
      </c>
      <c r="C35" s="3">
        <v>-0.57804961353034734</v>
      </c>
      <c r="D35" s="3">
        <v>-0.81434130027802532</v>
      </c>
      <c r="E35" s="3">
        <v>-0.86422713207815338</v>
      </c>
      <c r="F35" s="3">
        <v>1.1469963927122129</v>
      </c>
      <c r="G35" s="3">
        <v>-0.94035835255371947</v>
      </c>
      <c r="H35" s="3">
        <v>-0.84455922007661577</v>
      </c>
      <c r="I35" s="2">
        <f t="shared" si="0"/>
        <v>-0.89245878631516762</v>
      </c>
      <c r="J35" s="2">
        <v>-0.5554954377872634</v>
      </c>
      <c r="K35" s="2">
        <f t="shared" si="1"/>
        <v>-0.70002732893193964</v>
      </c>
      <c r="L35" s="2">
        <v>-1.7170659963115412E-2</v>
      </c>
      <c r="M35" s="2">
        <v>0.93382268295458115</v>
      </c>
      <c r="N35" s="2">
        <v>-0.66074230237023301</v>
      </c>
      <c r="O35" s="2">
        <v>-0.32843509016537648</v>
      </c>
      <c r="P35" s="2">
        <v>-2.5770852521219911E-2</v>
      </c>
      <c r="Q35" s="2">
        <v>-2.5770852521220449E-2</v>
      </c>
      <c r="R35" s="2">
        <v>0.85880839872301684</v>
      </c>
      <c r="S35" s="2">
        <v>-0.61865205168365112</v>
      </c>
      <c r="T35" s="2">
        <v>0.90277863695745375</v>
      </c>
      <c r="U35" s="2">
        <v>-1.2108085927610563</v>
      </c>
      <c r="V35" s="2">
        <v>1.6</v>
      </c>
      <c r="W35" s="2">
        <v>1.75</v>
      </c>
      <c r="X35" s="2">
        <v>51.4</v>
      </c>
      <c r="Y35" s="2">
        <v>19.2</v>
      </c>
      <c r="Z35" s="2">
        <v>54.4</v>
      </c>
      <c r="AA35" s="2">
        <v>19.2</v>
      </c>
      <c r="AB35" s="2">
        <v>89</v>
      </c>
      <c r="AC35" s="2">
        <v>99</v>
      </c>
      <c r="AD35" s="2">
        <v>14833.333333333334</v>
      </c>
      <c r="AE35" s="2">
        <v>16500</v>
      </c>
      <c r="AF35" s="2">
        <v>84</v>
      </c>
      <c r="AG35" s="2">
        <v>27</v>
      </c>
      <c r="AH35" s="2">
        <v>5.7</v>
      </c>
      <c r="AI35" s="2">
        <v>14000</v>
      </c>
      <c r="AJ35" s="2">
        <v>4500</v>
      </c>
      <c r="AK35" s="2">
        <v>950</v>
      </c>
      <c r="AL35" s="2">
        <v>96</v>
      </c>
      <c r="AM35" s="2">
        <v>22</v>
      </c>
      <c r="AN35" s="2">
        <v>4.8</v>
      </c>
      <c r="AO35" s="2">
        <v>16000</v>
      </c>
      <c r="AP35" s="2">
        <v>3666.6666666666665</v>
      </c>
      <c r="AQ35" s="2">
        <v>800</v>
      </c>
      <c r="AR35" s="2">
        <v>4500</v>
      </c>
      <c r="AS35" s="2">
        <v>3666.6666666666665</v>
      </c>
    </row>
    <row r="36" spans="1:45" x14ac:dyDescent="0.25">
      <c r="A36" t="s">
        <v>62</v>
      </c>
      <c r="B36" s="3">
        <v>-0.48848868406489959</v>
      </c>
      <c r="C36" s="3">
        <v>-0.57724988695704071</v>
      </c>
      <c r="D36" s="3">
        <v>-0.61024746586075918</v>
      </c>
      <c r="E36" s="3">
        <v>-0.87479261166886602</v>
      </c>
      <c r="F36" s="3">
        <v>0.82248662835184772</v>
      </c>
      <c r="G36" s="3">
        <v>-0.94035835255371947</v>
      </c>
      <c r="H36" s="3">
        <v>-0.84455922007661577</v>
      </c>
      <c r="I36" s="2">
        <f t="shared" si="0"/>
        <v>-0.89245878631516762</v>
      </c>
      <c r="J36" s="2">
        <v>-0.5554954377872634</v>
      </c>
      <c r="K36" s="2">
        <f t="shared" si="1"/>
        <v>-0.70002732893193964</v>
      </c>
      <c r="L36" s="2">
        <v>-1.7170659963115412E-2</v>
      </c>
      <c r="M36" s="2">
        <v>0.93382268295458115</v>
      </c>
      <c r="N36" s="2">
        <v>-0.23335719281031586</v>
      </c>
      <c r="O36" s="2">
        <v>-0.14354338455246149</v>
      </c>
      <c r="P36" s="2">
        <v>-2.5770852521219911E-2</v>
      </c>
      <c r="Q36" s="2">
        <v>-2.5770852521220449E-2</v>
      </c>
      <c r="R36" s="2">
        <v>0.85880839872301684</v>
      </c>
      <c r="S36" s="2">
        <v>-0.22714211063422782</v>
      </c>
      <c r="T36" s="2">
        <v>0.90277863695745375</v>
      </c>
      <c r="U36" s="2">
        <v>-1.2108085927610563</v>
      </c>
      <c r="V36" s="2">
        <v>1.75</v>
      </c>
      <c r="W36" s="2">
        <v>1.8</v>
      </c>
      <c r="X36" s="2">
        <v>51.4</v>
      </c>
      <c r="Y36" s="2">
        <v>19.2</v>
      </c>
      <c r="Z36" s="2">
        <v>54.4</v>
      </c>
      <c r="AA36" s="2">
        <v>19.2</v>
      </c>
      <c r="AB36" s="2">
        <v>89</v>
      </c>
      <c r="AC36" s="2">
        <v>99</v>
      </c>
      <c r="AD36" s="2">
        <v>14833.333333333334</v>
      </c>
      <c r="AE36" s="2">
        <v>16500</v>
      </c>
      <c r="AF36" s="2">
        <v>84</v>
      </c>
      <c r="AG36" s="2">
        <v>27</v>
      </c>
      <c r="AH36" s="2">
        <v>5.7</v>
      </c>
      <c r="AI36" s="2">
        <v>14000</v>
      </c>
      <c r="AJ36" s="2">
        <v>4500</v>
      </c>
      <c r="AK36" s="2">
        <v>950</v>
      </c>
      <c r="AL36" s="2">
        <v>96</v>
      </c>
      <c r="AM36" s="2">
        <v>22</v>
      </c>
      <c r="AN36" s="2">
        <v>4.8</v>
      </c>
      <c r="AO36" s="2">
        <v>16000</v>
      </c>
      <c r="AP36" s="2">
        <v>3666.6666666666665</v>
      </c>
      <c r="AQ36" s="2">
        <v>800</v>
      </c>
      <c r="AR36" s="2">
        <v>4500</v>
      </c>
      <c r="AS36" s="2">
        <v>3666.6666666666665</v>
      </c>
    </row>
    <row r="37" spans="1:45" x14ac:dyDescent="0.25">
      <c r="A37" t="s">
        <v>62</v>
      </c>
      <c r="B37" s="3">
        <v>-0.66456833932885395</v>
      </c>
      <c r="C37" s="3">
        <v>-0.55876424978612005</v>
      </c>
      <c r="D37" s="3">
        <v>-0.85078727526277242</v>
      </c>
      <c r="E37" s="3">
        <v>-0.83552366072134765</v>
      </c>
      <c r="F37" s="3">
        <v>-0.21207431765940921</v>
      </c>
      <c r="G37" s="3">
        <v>-0.94035835255371947</v>
      </c>
      <c r="H37" s="3">
        <v>-0.84455922007661577</v>
      </c>
      <c r="I37" s="2">
        <f t="shared" si="0"/>
        <v>-0.89245878631516762</v>
      </c>
      <c r="J37" s="2">
        <v>-0.5554954377872634</v>
      </c>
      <c r="K37" s="2">
        <f t="shared" si="1"/>
        <v>-0.70002732893193964</v>
      </c>
      <c r="L37" s="2">
        <v>-1.7170659963115412E-2</v>
      </c>
      <c r="M37" s="2">
        <v>0.93382268295458115</v>
      </c>
      <c r="N37" s="2">
        <v>-0.48318771631368024</v>
      </c>
      <c r="O37" s="2">
        <v>-0.28926311863721638</v>
      </c>
      <c r="P37" s="2">
        <v>-2.5770852521219911E-2</v>
      </c>
      <c r="Q37" s="2">
        <v>-2.5770852521220449E-2</v>
      </c>
      <c r="R37" s="2">
        <v>0.85880839872301684</v>
      </c>
      <c r="S37" s="2">
        <v>-0.45600158968782845</v>
      </c>
      <c r="T37" s="2">
        <v>0.90277863695745375</v>
      </c>
      <c r="U37" s="2">
        <v>-1.2108085927610563</v>
      </c>
      <c r="V37" s="2">
        <v>1.6</v>
      </c>
      <c r="W37" s="2">
        <v>2</v>
      </c>
      <c r="X37" s="2">
        <v>51.4</v>
      </c>
      <c r="Y37" s="2">
        <v>19.2</v>
      </c>
      <c r="Z37" s="2">
        <v>54.4</v>
      </c>
      <c r="AA37" s="2">
        <v>19.2</v>
      </c>
      <c r="AB37" s="2">
        <v>89</v>
      </c>
      <c r="AC37" s="2">
        <v>99</v>
      </c>
      <c r="AD37" s="2">
        <v>14833.333333333334</v>
      </c>
      <c r="AE37" s="2">
        <v>16500</v>
      </c>
      <c r="AF37" s="2">
        <v>84</v>
      </c>
      <c r="AG37" s="2">
        <v>27</v>
      </c>
      <c r="AH37" s="2">
        <v>5.7</v>
      </c>
      <c r="AI37" s="2">
        <v>14000</v>
      </c>
      <c r="AJ37" s="2">
        <v>4500</v>
      </c>
      <c r="AK37" s="2">
        <v>950</v>
      </c>
      <c r="AL37" s="2">
        <v>96</v>
      </c>
      <c r="AM37" s="2">
        <v>22</v>
      </c>
      <c r="AN37" s="2">
        <v>4.8</v>
      </c>
      <c r="AO37" s="2">
        <v>16000</v>
      </c>
      <c r="AP37" s="2">
        <v>3666.6666666666665</v>
      </c>
      <c r="AQ37" s="2">
        <v>800</v>
      </c>
      <c r="AR37" s="2">
        <v>4500</v>
      </c>
      <c r="AS37" s="2">
        <v>3666.6666666666665</v>
      </c>
    </row>
    <row r="38" spans="1:45" x14ac:dyDescent="0.25">
      <c r="A38" t="s">
        <v>63</v>
      </c>
      <c r="B38" s="3">
        <v>8.9532666683444076E-2</v>
      </c>
      <c r="C38" s="3">
        <v>2.2985696127607871</v>
      </c>
      <c r="D38" s="3">
        <v>0.50391782092396087</v>
      </c>
      <c r="E38" s="3">
        <v>2.4419264174745683</v>
      </c>
      <c r="F38" s="3">
        <v>0.95346661617449691</v>
      </c>
      <c r="G38" s="3">
        <v>0.78354425682847706</v>
      </c>
      <c r="H38" s="3">
        <v>0.44024895514632512</v>
      </c>
      <c r="I38" s="2">
        <f t="shared" si="0"/>
        <v>0.61189660598740114</v>
      </c>
      <c r="J38" s="2">
        <v>0.6378070193368095</v>
      </c>
      <c r="K38" s="2">
        <f t="shared" si="1"/>
        <v>0.53902798724156731</v>
      </c>
      <c r="L38" s="2">
        <v>-0.14819026098601115</v>
      </c>
      <c r="M38" s="2">
        <v>-0.55589293737427881</v>
      </c>
      <c r="N38" s="2">
        <v>-0.38426146810670569</v>
      </c>
      <c r="O38" s="2">
        <v>-0.29016994054644496</v>
      </c>
      <c r="P38" s="2">
        <v>1.3143134785822457</v>
      </c>
      <c r="Q38" s="2">
        <v>1.3143134785822448</v>
      </c>
      <c r="R38" s="2">
        <v>1.3716919763891571</v>
      </c>
      <c r="S38" s="2">
        <v>-0.26745125537185593</v>
      </c>
      <c r="T38" s="2">
        <v>2.7387977667206189</v>
      </c>
      <c r="U38" s="2">
        <v>0.2675820094499583</v>
      </c>
      <c r="V38" s="2">
        <v>2.1</v>
      </c>
      <c r="W38" s="2">
        <v>2.06</v>
      </c>
      <c r="X38" s="2">
        <v>52.2</v>
      </c>
      <c r="Y38" s="2">
        <v>24.2</v>
      </c>
      <c r="Z38" s="2">
        <v>54.8</v>
      </c>
      <c r="AA38" s="2">
        <v>25</v>
      </c>
      <c r="AB38" s="2">
        <v>75</v>
      </c>
      <c r="AC38" s="2">
        <v>74</v>
      </c>
      <c r="AD38" s="2">
        <v>12500</v>
      </c>
      <c r="AE38" s="2">
        <v>12333.333333333334</v>
      </c>
      <c r="AF38" s="2">
        <v>80</v>
      </c>
      <c r="AG38" s="2">
        <v>63</v>
      </c>
      <c r="AH38" s="2">
        <v>17</v>
      </c>
      <c r="AI38" s="2">
        <v>13333.333333333334</v>
      </c>
      <c r="AJ38" s="2">
        <v>10500</v>
      </c>
      <c r="AK38" s="2">
        <v>2833.3333333333335</v>
      </c>
      <c r="AL38" s="2">
        <v>74</v>
      </c>
      <c r="AM38" s="2">
        <v>59</v>
      </c>
      <c r="AN38" s="2">
        <v>15.1</v>
      </c>
      <c r="AO38" s="2">
        <v>12333.333333333334</v>
      </c>
      <c r="AP38" s="2">
        <v>9833.3333333333339</v>
      </c>
      <c r="AQ38" s="2">
        <v>2516.6666666666665</v>
      </c>
      <c r="AR38" s="2">
        <v>10500</v>
      </c>
      <c r="AS38" s="2">
        <v>9833.3333333333339</v>
      </c>
    </row>
    <row r="39" spans="1:45" x14ac:dyDescent="0.25">
      <c r="A39" t="s">
        <v>63</v>
      </c>
      <c r="B39" s="3">
        <v>-0.62243961915046941</v>
      </c>
      <c r="C39" s="3">
        <v>1.0934996838620841</v>
      </c>
      <c r="D39" s="3">
        <v>0.81932591846731673</v>
      </c>
      <c r="E39" s="3">
        <v>1.833783008880858</v>
      </c>
      <c r="F39" s="3">
        <v>1.0980271887779365</v>
      </c>
      <c r="G39" s="3">
        <v>0.78354425682847706</v>
      </c>
      <c r="H39" s="3">
        <v>0.44024895514632512</v>
      </c>
      <c r="I39" s="2">
        <f t="shared" si="0"/>
        <v>0.61189660598740114</v>
      </c>
      <c r="J39" s="2">
        <v>0.6378070193368095</v>
      </c>
      <c r="K39" s="2">
        <f t="shared" si="1"/>
        <v>0.53902798724156731</v>
      </c>
      <c r="L39" s="2">
        <v>-0.14819026098601115</v>
      </c>
      <c r="M39" s="2">
        <v>-0.55589293737427881</v>
      </c>
      <c r="N39" s="2">
        <v>-0.35531349895584824</v>
      </c>
      <c r="O39" s="2">
        <v>-0.26597658763400606</v>
      </c>
      <c r="P39" s="2">
        <v>1.3143134785822457</v>
      </c>
      <c r="Q39" s="2">
        <v>1.3143134785822448</v>
      </c>
      <c r="R39" s="2">
        <v>1.3716919763891571</v>
      </c>
      <c r="S39" s="2">
        <v>-0.23209386163884366</v>
      </c>
      <c r="T39" s="2">
        <v>2.7387977667206189</v>
      </c>
      <c r="U39" s="2">
        <v>0.2675820094499583</v>
      </c>
      <c r="V39" s="2">
        <v>2.15</v>
      </c>
      <c r="W39" s="2">
        <v>2.1800000000000002</v>
      </c>
      <c r="X39" s="2">
        <v>52.2</v>
      </c>
      <c r="Y39" s="2">
        <v>24.2</v>
      </c>
      <c r="Z39" s="2">
        <v>54.8</v>
      </c>
      <c r="AA39" s="2">
        <v>25</v>
      </c>
      <c r="AB39" s="2">
        <v>75</v>
      </c>
      <c r="AC39" s="2">
        <v>74</v>
      </c>
      <c r="AD39" s="2">
        <v>12500</v>
      </c>
      <c r="AE39" s="2">
        <v>12333.333333333334</v>
      </c>
      <c r="AF39" s="2">
        <v>80</v>
      </c>
      <c r="AG39" s="2">
        <v>63</v>
      </c>
      <c r="AH39" s="2">
        <v>17</v>
      </c>
      <c r="AI39" s="2">
        <v>13333.333333333334</v>
      </c>
      <c r="AJ39" s="2">
        <v>10500</v>
      </c>
      <c r="AK39" s="2">
        <v>2833.3333333333335</v>
      </c>
      <c r="AL39" s="2">
        <v>74</v>
      </c>
      <c r="AM39" s="2">
        <v>59</v>
      </c>
      <c r="AN39" s="2">
        <v>15.1</v>
      </c>
      <c r="AO39" s="2">
        <v>12333.333333333334</v>
      </c>
      <c r="AP39" s="2">
        <v>9833.3333333333339</v>
      </c>
      <c r="AQ39" s="2">
        <v>2516.6666666666665</v>
      </c>
      <c r="AR39" s="2">
        <v>10500</v>
      </c>
      <c r="AS39" s="2">
        <v>9833.3333333333339</v>
      </c>
    </row>
    <row r="40" spans="1:45" x14ac:dyDescent="0.25">
      <c r="A40" t="s">
        <v>63</v>
      </c>
      <c r="B40" s="3">
        <v>1.513126530258488</v>
      </c>
      <c r="C40" s="3">
        <v>-0.43437594367584259</v>
      </c>
      <c r="D40" s="3">
        <v>1.7739282048375091</v>
      </c>
      <c r="E40" s="3">
        <v>-0.37772458978676293</v>
      </c>
      <c r="F40" s="3">
        <v>0.89041360340544318</v>
      </c>
      <c r="G40" s="3">
        <v>0.78354425682847706</v>
      </c>
      <c r="H40" s="3">
        <v>0.44024895514632512</v>
      </c>
      <c r="I40" s="2">
        <f t="shared" si="0"/>
        <v>0.61189660598740114</v>
      </c>
      <c r="J40" s="2">
        <v>0.6378070193368095</v>
      </c>
      <c r="K40" s="2">
        <f t="shared" si="1"/>
        <v>0.53902798724156731</v>
      </c>
      <c r="L40" s="2">
        <v>-0.14819026098601115</v>
      </c>
      <c r="M40" s="2">
        <v>-0.55589293737427881</v>
      </c>
      <c r="N40" s="2">
        <v>-0.37580475801769075</v>
      </c>
      <c r="O40" s="2">
        <v>-9.0574779018825838E-2</v>
      </c>
      <c r="P40" s="2">
        <v>1.3143134785822457</v>
      </c>
      <c r="Q40" s="2">
        <v>1.3143134785822448</v>
      </c>
      <c r="R40" s="2">
        <v>1.3716919763891571</v>
      </c>
      <c r="S40" s="2">
        <v>-0.25712212911277355</v>
      </c>
      <c r="T40" s="2">
        <v>2.7387977667206189</v>
      </c>
      <c r="U40" s="2">
        <v>0.2675820094499583</v>
      </c>
      <c r="V40" s="2">
        <v>2.1</v>
      </c>
      <c r="W40" s="2">
        <v>2.15</v>
      </c>
      <c r="X40" s="2">
        <v>52.2</v>
      </c>
      <c r="Y40" s="2">
        <v>24.2</v>
      </c>
      <c r="Z40" s="2">
        <v>54.8</v>
      </c>
      <c r="AA40" s="2">
        <v>25</v>
      </c>
      <c r="AB40" s="2">
        <v>75</v>
      </c>
      <c r="AC40" s="2">
        <v>74</v>
      </c>
      <c r="AD40" s="2">
        <v>12500</v>
      </c>
      <c r="AE40" s="2">
        <v>12333.333333333334</v>
      </c>
      <c r="AF40" s="2">
        <v>80</v>
      </c>
      <c r="AG40" s="2">
        <v>63</v>
      </c>
      <c r="AH40" s="2">
        <v>17</v>
      </c>
      <c r="AI40" s="2">
        <v>13333.333333333334</v>
      </c>
      <c r="AJ40" s="2">
        <v>10500</v>
      </c>
      <c r="AK40" s="2">
        <v>2833.3333333333335</v>
      </c>
      <c r="AL40" s="2">
        <v>74</v>
      </c>
      <c r="AM40" s="2">
        <v>59</v>
      </c>
      <c r="AN40" s="2">
        <v>15.1</v>
      </c>
      <c r="AO40" s="2">
        <v>12333.333333333334</v>
      </c>
      <c r="AP40" s="2">
        <v>9833.3333333333339</v>
      </c>
      <c r="AQ40" s="2">
        <v>2516.6666666666665</v>
      </c>
      <c r="AR40" s="2">
        <v>10500</v>
      </c>
      <c r="AS40" s="2">
        <v>9833.3333333333339</v>
      </c>
    </row>
    <row r="41" spans="1:45" x14ac:dyDescent="0.25">
      <c r="A41" t="s">
        <v>63</v>
      </c>
      <c r="B41" s="3">
        <v>-0.51326850144983494</v>
      </c>
      <c r="C41" s="3">
        <v>-0.51727916452625811</v>
      </c>
      <c r="D41" s="3">
        <v>-0.60450268850767652</v>
      </c>
      <c r="E41" s="3">
        <v>-0.74462460204558178</v>
      </c>
      <c r="F41" s="3">
        <v>0.80312026413866144</v>
      </c>
      <c r="G41" s="3">
        <v>-1.2481981042291117</v>
      </c>
      <c r="H41" s="3">
        <v>-1.3798959597528411</v>
      </c>
      <c r="I41" s="2">
        <f t="shared" si="0"/>
        <v>-1.3140470319909765</v>
      </c>
      <c r="J41" s="2">
        <v>-0.95886528244892177</v>
      </c>
      <c r="K41" s="2">
        <f t="shared" si="1"/>
        <v>-1.1693806211008815</v>
      </c>
      <c r="L41" s="2">
        <v>-0.27920986200890685</v>
      </c>
      <c r="M41" s="2">
        <v>-0.43918710536694877</v>
      </c>
      <c r="N41" s="2">
        <v>0.23860775575723633</v>
      </c>
      <c r="O41" s="2">
        <v>-0.56385724536840609</v>
      </c>
      <c r="P41" s="2">
        <v>1.604665083654663</v>
      </c>
      <c r="Q41" s="2">
        <v>1.6046650836546617</v>
      </c>
      <c r="R41" s="2">
        <v>0.74731196879559469</v>
      </c>
      <c r="S41" s="2">
        <v>0.55575527784656575</v>
      </c>
      <c r="T41" s="2">
        <v>-0.5012359916849658</v>
      </c>
      <c r="U41" s="2">
        <v>1.311151846304792</v>
      </c>
      <c r="V41" s="2">
        <v>2.2999999999999998</v>
      </c>
      <c r="W41" s="2">
        <v>2.13</v>
      </c>
      <c r="X41" s="2">
        <v>48</v>
      </c>
      <c r="Y41" s="2">
        <v>22</v>
      </c>
      <c r="Z41" s="2">
        <v>52.6</v>
      </c>
      <c r="AA41" s="2">
        <v>19.600000000000001</v>
      </c>
      <c r="AB41" s="2">
        <v>80</v>
      </c>
      <c r="AC41" s="2">
        <v>90</v>
      </c>
      <c r="AD41" s="2">
        <v>13333.333333333334</v>
      </c>
      <c r="AE41" s="2">
        <v>15000</v>
      </c>
      <c r="AF41" s="2">
        <v>82</v>
      </c>
      <c r="AG41" s="2">
        <v>66</v>
      </c>
      <c r="AH41" s="2">
        <v>17.5</v>
      </c>
      <c r="AI41" s="2">
        <v>13666.666666666666</v>
      </c>
      <c r="AJ41" s="2">
        <v>11000</v>
      </c>
      <c r="AK41" s="2">
        <v>2916.6666666666665</v>
      </c>
      <c r="AL41" s="2">
        <v>89</v>
      </c>
      <c r="AM41" s="2">
        <v>58</v>
      </c>
      <c r="AN41" s="2">
        <v>15.3</v>
      </c>
      <c r="AO41" s="2">
        <v>14833.333333333334</v>
      </c>
      <c r="AP41" s="2">
        <v>9666.6666666666661</v>
      </c>
      <c r="AQ41" s="2">
        <v>2550</v>
      </c>
      <c r="AR41" s="2">
        <v>11000</v>
      </c>
      <c r="AS41" s="2">
        <v>9666.6666666666661</v>
      </c>
    </row>
    <row r="42" spans="1:45" x14ac:dyDescent="0.25">
      <c r="A42" t="s">
        <v>63</v>
      </c>
      <c r="B42" s="3">
        <v>-0.49174203159450963</v>
      </c>
      <c r="C42" s="3">
        <v>-0.60735661520082695</v>
      </c>
      <c r="D42" s="3">
        <v>-0.59854727860312429</v>
      </c>
      <c r="E42" s="3">
        <v>-0.91777218135262617</v>
      </c>
      <c r="F42" s="3">
        <v>0.57307429271053656</v>
      </c>
      <c r="G42" s="3">
        <v>-1.2481981042291117</v>
      </c>
      <c r="H42" s="3">
        <v>-1.3798959597528411</v>
      </c>
      <c r="I42" s="2">
        <f t="shared" si="0"/>
        <v>-1.3140470319909765</v>
      </c>
      <c r="J42" s="2">
        <v>-0.95886528244892177</v>
      </c>
      <c r="K42" s="2">
        <f t="shared" si="1"/>
        <v>-1.1693806211008815</v>
      </c>
      <c r="L42" s="2">
        <v>-0.27920986200890685</v>
      </c>
      <c r="M42" s="2">
        <v>-0.43918710536694877</v>
      </c>
      <c r="N42" s="2">
        <v>-0.23984688043276933</v>
      </c>
      <c r="O42" s="2">
        <v>-0.26144033396292365</v>
      </c>
      <c r="P42" s="2">
        <v>1.604665083654663</v>
      </c>
      <c r="Q42" s="2">
        <v>1.6046650836546617</v>
      </c>
      <c r="R42" s="2">
        <v>0.74731196879559469</v>
      </c>
      <c r="S42" s="2">
        <v>-6.0289372146834302E-2</v>
      </c>
      <c r="T42" s="2">
        <v>-0.5012359916849658</v>
      </c>
      <c r="U42" s="2">
        <v>1.311151846304792</v>
      </c>
      <c r="V42" s="2">
        <v>2.2000000000000002</v>
      </c>
      <c r="W42" s="2">
        <v>2.04</v>
      </c>
      <c r="X42" s="2">
        <v>48</v>
      </c>
      <c r="Y42" s="2">
        <v>22</v>
      </c>
      <c r="Z42" s="2">
        <v>52.6</v>
      </c>
      <c r="AA42" s="2">
        <v>19.600000000000001</v>
      </c>
      <c r="AB42" s="2">
        <v>80</v>
      </c>
      <c r="AC42" s="2">
        <v>90</v>
      </c>
      <c r="AD42" s="2">
        <v>13333.333333333334</v>
      </c>
      <c r="AE42" s="2">
        <v>15000</v>
      </c>
      <c r="AF42" s="2">
        <v>82</v>
      </c>
      <c r="AG42" s="2">
        <v>66</v>
      </c>
      <c r="AH42" s="2">
        <v>17.5</v>
      </c>
      <c r="AI42" s="2">
        <v>13666.666666666666</v>
      </c>
      <c r="AJ42" s="2">
        <v>11000</v>
      </c>
      <c r="AK42" s="2">
        <v>2916.6666666666665</v>
      </c>
      <c r="AL42" s="2">
        <v>89</v>
      </c>
      <c r="AM42" s="2">
        <v>58</v>
      </c>
      <c r="AN42" s="2">
        <v>15.3</v>
      </c>
      <c r="AO42" s="2">
        <v>14833.333333333334</v>
      </c>
      <c r="AP42" s="2">
        <v>9666.6666666666661</v>
      </c>
      <c r="AQ42" s="2">
        <v>2550</v>
      </c>
      <c r="AR42" s="2">
        <v>11000</v>
      </c>
      <c r="AS42" s="2">
        <v>9666.6666666666661</v>
      </c>
    </row>
    <row r="43" spans="1:45" x14ac:dyDescent="0.25">
      <c r="A43" t="s">
        <v>63</v>
      </c>
      <c r="B43" s="3">
        <v>-4.9696691868335023E-2</v>
      </c>
      <c r="C43" s="3">
        <v>1.5741120410289884</v>
      </c>
      <c r="D43" s="3">
        <v>0.41644518186470791</v>
      </c>
      <c r="E43" s="3">
        <v>2.1394776893843885</v>
      </c>
      <c r="F43" s="3">
        <v>0.8555694206207094</v>
      </c>
      <c r="G43" s="3">
        <v>-1.2481981042291117</v>
      </c>
      <c r="H43" s="3">
        <v>-1.3798959597528411</v>
      </c>
      <c r="I43" s="2">
        <f t="shared" si="0"/>
        <v>-1.3140470319909765</v>
      </c>
      <c r="J43" s="2">
        <v>-0.95886528244892177</v>
      </c>
      <c r="K43" s="2">
        <f t="shared" si="1"/>
        <v>-1.1693806211008815</v>
      </c>
      <c r="L43" s="2">
        <v>-0.27920986200890685</v>
      </c>
      <c r="M43" s="2">
        <v>-0.43918710536694877</v>
      </c>
      <c r="N43" s="2">
        <v>-0.29514075409170865</v>
      </c>
      <c r="O43" s="2">
        <v>-0.22938414135394239</v>
      </c>
      <c r="P43" s="2">
        <v>1.604665083654663</v>
      </c>
      <c r="Q43" s="2">
        <v>1.6046650836546617</v>
      </c>
      <c r="R43" s="2">
        <v>0.74731196879559469</v>
      </c>
      <c r="S43" s="2">
        <v>-0.13148419913451426</v>
      </c>
      <c r="T43" s="2">
        <v>-0.5012359916849658</v>
      </c>
      <c r="U43" s="2">
        <v>1.311151846304792</v>
      </c>
      <c r="V43" s="2">
        <v>2.1</v>
      </c>
      <c r="W43" s="2">
        <v>2.09</v>
      </c>
      <c r="X43" s="2">
        <v>48</v>
      </c>
      <c r="Y43" s="2">
        <v>22</v>
      </c>
      <c r="Z43" s="2">
        <v>52.6</v>
      </c>
      <c r="AA43" s="2">
        <v>19.600000000000001</v>
      </c>
      <c r="AB43" s="2">
        <v>80</v>
      </c>
      <c r="AC43" s="2">
        <v>90</v>
      </c>
      <c r="AD43" s="2">
        <v>13333.333333333334</v>
      </c>
      <c r="AE43" s="2">
        <v>15000</v>
      </c>
      <c r="AF43" s="2">
        <v>82</v>
      </c>
      <c r="AG43" s="2">
        <v>66</v>
      </c>
      <c r="AH43" s="2">
        <v>17.5</v>
      </c>
      <c r="AI43" s="2">
        <v>13666.666666666666</v>
      </c>
      <c r="AJ43" s="2">
        <v>11000</v>
      </c>
      <c r="AK43" s="2">
        <v>2916.6666666666665</v>
      </c>
      <c r="AL43" s="2">
        <v>89</v>
      </c>
      <c r="AM43" s="2">
        <v>58</v>
      </c>
      <c r="AN43" s="2">
        <v>15.3</v>
      </c>
      <c r="AO43" s="2">
        <v>14833.333333333334</v>
      </c>
      <c r="AP43" s="2">
        <v>9666.6666666666661</v>
      </c>
      <c r="AQ43" s="2">
        <v>2550</v>
      </c>
      <c r="AR43" s="2">
        <v>11000</v>
      </c>
      <c r="AS43" s="2">
        <v>9666.6666666666661</v>
      </c>
    </row>
    <row r="44" spans="1:45" x14ac:dyDescent="0.25">
      <c r="A44" t="s">
        <v>63</v>
      </c>
      <c r="B44" s="3">
        <v>-0.42002911163604062</v>
      </c>
      <c r="C44" s="3">
        <v>4.8609075314414038E-2</v>
      </c>
      <c r="D44" s="3">
        <v>-0.31747131425489405</v>
      </c>
      <c r="E44" s="3">
        <v>0.3055584609939081</v>
      </c>
      <c r="F44" s="3">
        <v>0.98251751284617861</v>
      </c>
      <c r="G44" s="3">
        <v>-1.4739472554577326</v>
      </c>
      <c r="H44" s="3">
        <v>-1.3604291692191601</v>
      </c>
      <c r="I44" s="2">
        <f t="shared" si="0"/>
        <v>-1.4171882123384463</v>
      </c>
      <c r="J44" s="2">
        <v>-1.0849183589056901</v>
      </c>
      <c r="K44" s="2">
        <f t="shared" si="1"/>
        <v>-1.2226737640624252</v>
      </c>
      <c r="L44" s="2">
        <v>-1.1745104689986943</v>
      </c>
      <c r="M44" s="2">
        <v>-1.3316434677759432</v>
      </c>
      <c r="N44" s="2">
        <v>-4.3716257983704057E-2</v>
      </c>
      <c r="O44" s="2">
        <v>-0.34248806621959316</v>
      </c>
      <c r="P44" s="2">
        <v>1.2696440008787968</v>
      </c>
      <c r="Q44" s="2">
        <v>1.2696440008787959</v>
      </c>
      <c r="R44" s="2">
        <v>0.814209826752048</v>
      </c>
      <c r="S44" s="2">
        <v>0.14176422844429046</v>
      </c>
      <c r="T44" s="2">
        <v>-0.12323205320431449</v>
      </c>
      <c r="U44" s="2">
        <v>0.1806178563787221</v>
      </c>
      <c r="V44" s="2">
        <v>2.1</v>
      </c>
      <c r="W44" s="2">
        <v>1.93</v>
      </c>
      <c r="X44" s="2">
        <v>52.02</v>
      </c>
      <c r="Y44" s="2">
        <v>22</v>
      </c>
      <c r="Z44" s="2">
        <v>51</v>
      </c>
      <c r="AA44" s="2">
        <v>21.8</v>
      </c>
      <c r="AB44" s="2">
        <v>85</v>
      </c>
      <c r="AC44" s="2">
        <v>95</v>
      </c>
      <c r="AD44" s="2">
        <v>14166.666666666666</v>
      </c>
      <c r="AE44" s="2">
        <v>15833.333333333334</v>
      </c>
      <c r="AF44" s="2">
        <v>86</v>
      </c>
      <c r="AG44" s="2">
        <v>51</v>
      </c>
      <c r="AH44" s="2">
        <v>12.5</v>
      </c>
      <c r="AI44" s="2">
        <v>14333.333333333334</v>
      </c>
      <c r="AJ44" s="2">
        <v>8500</v>
      </c>
      <c r="AK44" s="2">
        <v>2083.3333333333335</v>
      </c>
      <c r="AL44" s="2">
        <v>89</v>
      </c>
      <c r="AM44" s="2">
        <v>26</v>
      </c>
      <c r="AN44" s="2">
        <v>6.5</v>
      </c>
      <c r="AO44" s="2">
        <v>14833.333333333334</v>
      </c>
      <c r="AP44" s="2">
        <v>4333.333333333333</v>
      </c>
      <c r="AQ44" s="2">
        <v>1083.3333333333333</v>
      </c>
      <c r="AR44" s="2">
        <v>8500</v>
      </c>
      <c r="AS44" s="2">
        <v>4333.333333333333</v>
      </c>
    </row>
    <row r="45" spans="1:45" x14ac:dyDescent="0.25">
      <c r="A45" t="s">
        <v>63</v>
      </c>
      <c r="B45" s="3">
        <v>-0.54066594336667784</v>
      </c>
      <c r="C45" s="3">
        <v>-0.44038702847730327</v>
      </c>
      <c r="D45" s="3">
        <v>-0.66219288401157406</v>
      </c>
      <c r="E45" s="3">
        <v>-0.66103835870029148</v>
      </c>
      <c r="F45" s="3">
        <v>1.039569051389921</v>
      </c>
      <c r="G45" s="3">
        <v>-1.4739472554577326</v>
      </c>
      <c r="H45" s="3">
        <v>-1.3604291692191601</v>
      </c>
      <c r="I45" s="2">
        <f t="shared" si="0"/>
        <v>-1.4171882123384463</v>
      </c>
      <c r="J45" s="2">
        <v>-1.0849183589056901</v>
      </c>
      <c r="K45" s="2">
        <f t="shared" si="1"/>
        <v>-1.2226737640624252</v>
      </c>
      <c r="L45" s="2">
        <v>-1.1745104689986943</v>
      </c>
      <c r="M45" s="2">
        <v>-1.3316434677759432</v>
      </c>
      <c r="N45" s="2">
        <v>-0.1227539715079541</v>
      </c>
      <c r="O45" s="2">
        <v>-0.34430256768802614</v>
      </c>
      <c r="P45" s="2">
        <v>1.2696440008787968</v>
      </c>
      <c r="Q45" s="2">
        <v>1.2696440008787959</v>
      </c>
      <c r="R45" s="2">
        <v>0.814209826752048</v>
      </c>
      <c r="S45" s="2">
        <v>4.6031105356508117E-2</v>
      </c>
      <c r="T45" s="2">
        <v>-0.12323205320431449</v>
      </c>
      <c r="U45" s="2">
        <v>0.1806178563787221</v>
      </c>
      <c r="V45" s="2">
        <v>2.08</v>
      </c>
      <c r="W45" s="2">
        <v>2.0499999999999998</v>
      </c>
      <c r="X45" s="2">
        <v>52.02</v>
      </c>
      <c r="Y45" s="2">
        <v>22</v>
      </c>
      <c r="Z45" s="2">
        <v>51</v>
      </c>
      <c r="AA45" s="2">
        <v>21.8</v>
      </c>
      <c r="AB45" s="2">
        <v>85</v>
      </c>
      <c r="AC45" s="2">
        <v>95</v>
      </c>
      <c r="AD45" s="2">
        <v>14166.666666666666</v>
      </c>
      <c r="AE45" s="2">
        <v>15833.333333333334</v>
      </c>
      <c r="AF45" s="2">
        <v>86</v>
      </c>
      <c r="AG45" s="2">
        <v>51</v>
      </c>
      <c r="AH45" s="2">
        <v>12.5</v>
      </c>
      <c r="AI45" s="2">
        <v>14333.333333333334</v>
      </c>
      <c r="AJ45" s="2">
        <v>8500</v>
      </c>
      <c r="AK45" s="2">
        <v>2083.3333333333335</v>
      </c>
      <c r="AL45" s="2">
        <v>89</v>
      </c>
      <c r="AM45" s="2">
        <v>26</v>
      </c>
      <c r="AN45" s="2">
        <v>6.5</v>
      </c>
      <c r="AO45" s="2">
        <v>14833.333333333334</v>
      </c>
      <c r="AP45" s="2">
        <v>4333.333333333333</v>
      </c>
      <c r="AQ45" s="2">
        <v>1083.3333333333333</v>
      </c>
      <c r="AR45" s="2">
        <v>8500</v>
      </c>
      <c r="AS45" s="2">
        <v>4333.333333333333</v>
      </c>
    </row>
    <row r="46" spans="1:45" x14ac:dyDescent="0.25">
      <c r="A46" t="s">
        <v>63</v>
      </c>
      <c r="B46" s="3">
        <v>8.1551323423858409E-3</v>
      </c>
      <c r="C46" s="3">
        <v>0.12866664349774434</v>
      </c>
      <c r="D46" s="3">
        <v>-1.3839008852257251E-2</v>
      </c>
      <c r="E46" s="3">
        <v>0.57791333283000956</v>
      </c>
      <c r="F46" s="3">
        <v>0.9801544395470293</v>
      </c>
      <c r="G46" s="3">
        <v>-1.4739472554577326</v>
      </c>
      <c r="H46" s="3">
        <v>-1.3604291692191601</v>
      </c>
      <c r="I46" s="2">
        <f t="shared" si="0"/>
        <v>-1.4171882123384463</v>
      </c>
      <c r="J46" s="2">
        <v>-1.0849183589056901</v>
      </c>
      <c r="K46" s="2">
        <f t="shared" si="1"/>
        <v>-1.2226737640624252</v>
      </c>
      <c r="L46" s="2">
        <v>-1.1745104689986943</v>
      </c>
      <c r="M46" s="2">
        <v>-1.3316434677759432</v>
      </c>
      <c r="N46" s="2">
        <v>-9.2830228116057539E-2</v>
      </c>
      <c r="O46" s="2">
        <v>-0.226662389151293</v>
      </c>
      <c r="P46" s="2">
        <v>1.2696440008787968</v>
      </c>
      <c r="Q46" s="2">
        <v>1.2696440008787959</v>
      </c>
      <c r="R46" s="2">
        <v>0.814209826752048</v>
      </c>
      <c r="S46" s="2">
        <v>8.227574455023702E-2</v>
      </c>
      <c r="T46" s="2">
        <v>-0.12323205320431449</v>
      </c>
      <c r="U46" s="2">
        <v>0.1806178563787221</v>
      </c>
      <c r="V46" s="2">
        <v>2</v>
      </c>
      <c r="W46" s="2">
        <v>1.97</v>
      </c>
      <c r="X46" s="2">
        <v>52.02</v>
      </c>
      <c r="Y46" s="2">
        <v>22</v>
      </c>
      <c r="Z46" s="2">
        <v>51</v>
      </c>
      <c r="AA46" s="2">
        <v>21.8</v>
      </c>
      <c r="AB46" s="2">
        <v>85</v>
      </c>
      <c r="AC46" s="2">
        <v>95</v>
      </c>
      <c r="AD46" s="2">
        <v>14166.666666666666</v>
      </c>
      <c r="AE46" s="2">
        <v>15833.333333333334</v>
      </c>
      <c r="AF46" s="2">
        <v>86</v>
      </c>
      <c r="AG46" s="2">
        <v>51</v>
      </c>
      <c r="AH46" s="2">
        <v>12.5</v>
      </c>
      <c r="AI46" s="2">
        <v>14333.333333333334</v>
      </c>
      <c r="AJ46" s="2">
        <v>8500</v>
      </c>
      <c r="AK46" s="2">
        <v>2083.3333333333335</v>
      </c>
      <c r="AL46" s="2">
        <v>89</v>
      </c>
      <c r="AM46" s="2">
        <v>26</v>
      </c>
      <c r="AN46" s="2">
        <v>6.5</v>
      </c>
      <c r="AO46" s="2">
        <v>14833.333333333334</v>
      </c>
      <c r="AP46" s="2">
        <v>4333.333333333333</v>
      </c>
      <c r="AQ46" s="2">
        <v>1083.3333333333333</v>
      </c>
      <c r="AR46" s="2">
        <v>8500</v>
      </c>
      <c r="AS46" s="2">
        <v>4333.333333333333</v>
      </c>
    </row>
    <row r="47" spans="1:45" x14ac:dyDescent="0.25">
      <c r="A47" t="s">
        <v>64</v>
      </c>
      <c r="B47" s="3">
        <v>-0.23743746639680249</v>
      </c>
      <c r="C47" s="3">
        <v>0.76968040028980356</v>
      </c>
      <c r="D47" s="3">
        <v>1.240251758522712E-2</v>
      </c>
      <c r="E47" s="3">
        <v>1.4994540406730408</v>
      </c>
      <c r="F47" s="3">
        <v>1.5459923973815752</v>
      </c>
      <c r="G47" s="3">
        <v>0.20891005370107821</v>
      </c>
      <c r="H47" s="3">
        <v>0.93665211375518864</v>
      </c>
      <c r="I47" s="2">
        <f t="shared" si="0"/>
        <v>0.57278108372813341</v>
      </c>
      <c r="J47" s="2">
        <v>0.8226848648067363</v>
      </c>
      <c r="K47" s="2">
        <f t="shared" si="1"/>
        <v>0.87966848928096253</v>
      </c>
      <c r="L47" s="2">
        <v>0.62336961170437477</v>
      </c>
      <c r="M47" s="2">
        <v>0.38461876762596914</v>
      </c>
      <c r="N47" s="2">
        <v>-0.34100214342059382</v>
      </c>
      <c r="O47" s="2">
        <v>-0.2783756810016299</v>
      </c>
      <c r="P47" s="2">
        <v>2.4310504211684671</v>
      </c>
      <c r="Q47" s="2">
        <v>2.4310504211684654</v>
      </c>
      <c r="R47" s="2">
        <v>2.1298676998956276</v>
      </c>
      <c r="S47" s="2">
        <v>-0.12199928031006846</v>
      </c>
      <c r="T47" s="2">
        <v>-1.3112444312863623</v>
      </c>
      <c r="U47" s="2">
        <v>-1.4717010519747651</v>
      </c>
      <c r="V47" s="2">
        <v>2.1</v>
      </c>
      <c r="W47" s="2">
        <v>2.08</v>
      </c>
      <c r="X47" s="2">
        <v>51.6</v>
      </c>
      <c r="Y47" s="2">
        <v>22.8</v>
      </c>
      <c r="Z47" s="2">
        <v>53.6</v>
      </c>
      <c r="AA47" s="2">
        <v>24.4</v>
      </c>
      <c r="AB47" s="2">
        <v>72</v>
      </c>
      <c r="AC47" s="2">
        <v>71</v>
      </c>
      <c r="AD47" s="2">
        <v>12000</v>
      </c>
      <c r="AE47" s="2">
        <v>11833.333333333334</v>
      </c>
      <c r="AF47" s="2">
        <v>68</v>
      </c>
      <c r="AG47" s="2">
        <v>53</v>
      </c>
      <c r="AH47" s="2">
        <v>13.8</v>
      </c>
      <c r="AI47" s="2">
        <v>11333.333333333334</v>
      </c>
      <c r="AJ47" s="2">
        <v>8833.3333333333339</v>
      </c>
      <c r="AK47" s="2">
        <v>2300</v>
      </c>
      <c r="AL47" s="2">
        <v>67</v>
      </c>
      <c r="AM47" s="2">
        <v>44</v>
      </c>
      <c r="AN47" s="2">
        <v>11.7</v>
      </c>
      <c r="AO47" s="2">
        <v>11166.666666666666</v>
      </c>
      <c r="AP47" s="2">
        <v>7333.333333333333</v>
      </c>
      <c r="AQ47" s="2">
        <v>1950</v>
      </c>
      <c r="AR47" s="2">
        <v>8833.3333333333339</v>
      </c>
      <c r="AS47" s="2">
        <v>7333.333333333333</v>
      </c>
    </row>
    <row r="48" spans="1:45" x14ac:dyDescent="0.25">
      <c r="A48" t="s">
        <v>64</v>
      </c>
      <c r="B48" s="3">
        <v>2.2927238817016167</v>
      </c>
      <c r="C48" s="3">
        <v>-4.6519517441967632E-2</v>
      </c>
      <c r="D48" s="3">
        <v>2.1586407785413257</v>
      </c>
      <c r="E48" s="3">
        <v>0.46402671486491176</v>
      </c>
      <c r="F48" s="3">
        <v>1.1699230075642735</v>
      </c>
      <c r="G48" s="3">
        <v>0.20891005370107821</v>
      </c>
      <c r="H48" s="3">
        <v>0.93665211375518864</v>
      </c>
      <c r="I48" s="2">
        <f t="shared" si="0"/>
        <v>0.57278108372813341</v>
      </c>
      <c r="J48" s="2">
        <v>0.8226848648067363</v>
      </c>
      <c r="K48" s="2">
        <f t="shared" si="1"/>
        <v>0.87966848928096253</v>
      </c>
      <c r="L48" s="2">
        <v>0.62336961170437477</v>
      </c>
      <c r="M48" s="2">
        <v>0.38461876762596914</v>
      </c>
      <c r="N48" s="2">
        <v>-0.37255217721422457</v>
      </c>
      <c r="O48" s="2">
        <v>7.2125519317323555E-2</v>
      </c>
      <c r="P48" s="2">
        <v>2.4310504211684671</v>
      </c>
      <c r="Q48" s="2">
        <v>2.4310504211684654</v>
      </c>
      <c r="R48" s="2">
        <v>2.1298676998956276</v>
      </c>
      <c r="S48" s="2">
        <v>-0.16856311391070741</v>
      </c>
      <c r="T48" s="2">
        <v>-1.3112444312863623</v>
      </c>
      <c r="U48" s="2">
        <v>-1.4717010519747651</v>
      </c>
      <c r="V48" s="2">
        <v>2.1</v>
      </c>
      <c r="W48" s="2">
        <v>1.88</v>
      </c>
      <c r="X48" s="2">
        <v>51.6</v>
      </c>
      <c r="Y48" s="2">
        <v>22.8</v>
      </c>
      <c r="Z48" s="2">
        <v>53.6</v>
      </c>
      <c r="AA48" s="2">
        <v>24.4</v>
      </c>
      <c r="AB48" s="2">
        <v>72</v>
      </c>
      <c r="AC48" s="2">
        <v>71</v>
      </c>
      <c r="AD48" s="2">
        <v>12000</v>
      </c>
      <c r="AE48" s="2">
        <v>11833.333333333334</v>
      </c>
      <c r="AF48" s="2">
        <v>68</v>
      </c>
      <c r="AG48" s="2">
        <v>53</v>
      </c>
      <c r="AH48" s="2">
        <v>13.8</v>
      </c>
      <c r="AI48" s="2">
        <v>11333.333333333334</v>
      </c>
      <c r="AJ48" s="2">
        <v>8833.3333333333339</v>
      </c>
      <c r="AK48" s="2">
        <v>2300</v>
      </c>
      <c r="AL48" s="2">
        <v>67</v>
      </c>
      <c r="AM48" s="2">
        <v>44</v>
      </c>
      <c r="AN48" s="2">
        <v>11.7</v>
      </c>
      <c r="AO48" s="2">
        <v>11166.666666666666</v>
      </c>
      <c r="AP48" s="2">
        <v>7333.333333333333</v>
      </c>
      <c r="AQ48" s="2">
        <v>1950</v>
      </c>
      <c r="AR48" s="2">
        <v>8833.3333333333339</v>
      </c>
      <c r="AS48" s="2">
        <v>7333.333333333333</v>
      </c>
    </row>
    <row r="49" spans="1:45" x14ac:dyDescent="0.25">
      <c r="A49" t="s">
        <v>64</v>
      </c>
      <c r="B49" s="3">
        <v>2.776270646834444</v>
      </c>
      <c r="C49" s="3">
        <v>1.980571400652084</v>
      </c>
      <c r="D49" s="3">
        <v>2.3616164565298217</v>
      </c>
      <c r="E49" s="3">
        <v>2.3499668869907824</v>
      </c>
      <c r="F49" s="3">
        <v>1.6571547482708879</v>
      </c>
      <c r="G49" s="3">
        <v>0.20891005370107821</v>
      </c>
      <c r="H49" s="3">
        <v>0.93665211375518864</v>
      </c>
      <c r="I49" s="2">
        <f t="shared" si="0"/>
        <v>0.57278108372813341</v>
      </c>
      <c r="J49" s="2">
        <v>0.8226848648067363</v>
      </c>
      <c r="K49" s="2">
        <f t="shared" si="1"/>
        <v>0.87966848928096253</v>
      </c>
      <c r="L49" s="2">
        <v>0.62336961170437477</v>
      </c>
      <c r="M49" s="2">
        <v>0.38461876762596914</v>
      </c>
      <c r="N49" s="2">
        <v>-0.25188142940559682</v>
      </c>
      <c r="O49" s="2">
        <v>-9.5111032689908254E-2</v>
      </c>
      <c r="P49" s="2">
        <v>2.4310504211684671</v>
      </c>
      <c r="Q49" s="2">
        <v>2.4310504211684654</v>
      </c>
      <c r="R49" s="2">
        <v>2.1298676998956276</v>
      </c>
      <c r="S49" s="2">
        <v>9.5315486236936097E-3</v>
      </c>
      <c r="T49" s="2">
        <v>-1.3112444312863623</v>
      </c>
      <c r="U49" s="2">
        <v>-1.4717010519747651</v>
      </c>
      <c r="V49" s="2">
        <v>2</v>
      </c>
      <c r="W49" s="2">
        <v>2.0299999999999998</v>
      </c>
      <c r="X49" s="2">
        <v>51.6</v>
      </c>
      <c r="Y49" s="2">
        <v>22.8</v>
      </c>
      <c r="Z49" s="2">
        <v>53.6</v>
      </c>
      <c r="AA49" s="2">
        <v>24.4</v>
      </c>
      <c r="AB49" s="2">
        <v>72</v>
      </c>
      <c r="AC49" s="2">
        <v>71</v>
      </c>
      <c r="AD49" s="2">
        <v>12000</v>
      </c>
      <c r="AE49" s="2">
        <v>11833.333333333334</v>
      </c>
      <c r="AF49" s="2">
        <v>68</v>
      </c>
      <c r="AG49" s="2">
        <v>53</v>
      </c>
      <c r="AH49" s="2">
        <v>13.8</v>
      </c>
      <c r="AI49" s="2">
        <v>11333.333333333334</v>
      </c>
      <c r="AJ49" s="2">
        <v>8833.3333333333339</v>
      </c>
      <c r="AK49" s="2">
        <v>2300</v>
      </c>
      <c r="AL49" s="2">
        <v>67</v>
      </c>
      <c r="AM49" s="2">
        <v>44</v>
      </c>
      <c r="AN49" s="2">
        <v>11.7</v>
      </c>
      <c r="AO49" s="2">
        <v>11166.666666666666</v>
      </c>
      <c r="AP49" s="2">
        <v>7333.333333333333</v>
      </c>
      <c r="AQ49" s="2">
        <v>1950</v>
      </c>
      <c r="AR49" s="2">
        <v>8833.3333333333339</v>
      </c>
      <c r="AS49" s="2">
        <v>7333.333333333333</v>
      </c>
    </row>
    <row r="50" spans="1:45" x14ac:dyDescent="0.25">
      <c r="A50" t="s">
        <v>64</v>
      </c>
      <c r="B50" s="3">
        <v>9.1745289424944546E-2</v>
      </c>
      <c r="C50" s="3">
        <v>1.7850173893472741</v>
      </c>
      <c r="D50" s="3">
        <v>0.59376383432470869</v>
      </c>
      <c r="E50" s="3">
        <v>2.2448727884466106</v>
      </c>
      <c r="F50" s="3">
        <v>1.0574215754258274</v>
      </c>
      <c r="G50" s="3">
        <v>-0.16049764830939248</v>
      </c>
      <c r="H50" s="3">
        <v>-0.3773562472682736</v>
      </c>
      <c r="I50" s="2">
        <f t="shared" si="0"/>
        <v>-0.26892694778883303</v>
      </c>
      <c r="J50" s="2">
        <v>0.15040179037063892</v>
      </c>
      <c r="K50" s="2">
        <f t="shared" si="1"/>
        <v>-0.11347722844881734</v>
      </c>
      <c r="L50" s="2">
        <v>0.57241754463991534</v>
      </c>
      <c r="M50" s="2">
        <v>0.37088866974275386</v>
      </c>
      <c r="N50" s="2">
        <v>-0.38458672618705209</v>
      </c>
      <c r="O50" s="2">
        <v>-0.20246903623885493</v>
      </c>
      <c r="P50" s="2">
        <v>1.0016271346581034</v>
      </c>
      <c r="Q50" s="2">
        <v>1.0016271346581025</v>
      </c>
      <c r="R50" s="2">
        <v>1.4608891203310947</v>
      </c>
      <c r="S50" s="2">
        <v>-0.29067523636783743</v>
      </c>
      <c r="T50" s="2">
        <v>-0.5012359916849658</v>
      </c>
      <c r="U50" s="2">
        <v>1.3981159993760282</v>
      </c>
      <c r="V50" s="2">
        <v>2.2000000000000002</v>
      </c>
      <c r="W50" s="2">
        <v>2.23</v>
      </c>
      <c r="X50" s="2">
        <v>51.8</v>
      </c>
      <c r="Y50" s="2">
        <v>25.6</v>
      </c>
      <c r="Z50" s="2">
        <v>51.2</v>
      </c>
      <c r="AA50" s="2">
        <v>21.2</v>
      </c>
      <c r="AB50" s="2">
        <v>82</v>
      </c>
      <c r="AC50" s="2">
        <v>92</v>
      </c>
      <c r="AD50" s="2">
        <v>13666.666666666666</v>
      </c>
      <c r="AE50" s="2">
        <v>15333.333333333334</v>
      </c>
      <c r="AF50" s="2">
        <v>78</v>
      </c>
      <c r="AG50" s="2">
        <v>64</v>
      </c>
      <c r="AH50" s="2">
        <v>16.399999999999999</v>
      </c>
      <c r="AI50" s="2">
        <v>13000</v>
      </c>
      <c r="AJ50" s="2">
        <v>10666.666666666666</v>
      </c>
      <c r="AK50" s="2">
        <v>2733.3333333333335</v>
      </c>
      <c r="AL50" s="2">
        <v>85</v>
      </c>
      <c r="AM50" s="2">
        <v>71</v>
      </c>
      <c r="AN50" s="2">
        <v>17.2</v>
      </c>
      <c r="AO50" s="2">
        <v>14166.666666666666</v>
      </c>
      <c r="AP50" s="2">
        <v>11833.333333333334</v>
      </c>
      <c r="AQ50" s="2">
        <v>2866.6666666666665</v>
      </c>
      <c r="AR50" s="2">
        <v>10666.666666666666</v>
      </c>
      <c r="AS50" s="2">
        <v>11833.333333333334</v>
      </c>
    </row>
    <row r="51" spans="1:45" x14ac:dyDescent="0.25">
      <c r="A51" t="s">
        <v>64</v>
      </c>
      <c r="B51" s="3">
        <v>-3.6736241646708877E-2</v>
      </c>
      <c r="C51" s="3">
        <v>0.55098203573529747</v>
      </c>
      <c r="D51" s="3">
        <v>0.41751912491155818</v>
      </c>
      <c r="E51" s="3">
        <v>1.2710385326254265</v>
      </c>
      <c r="F51" s="3">
        <v>1.4133316361149222</v>
      </c>
      <c r="G51" s="3">
        <v>-0.16049764830939248</v>
      </c>
      <c r="H51" s="3">
        <v>-0.3773562472682736</v>
      </c>
      <c r="I51" s="2">
        <f t="shared" si="0"/>
        <v>-0.26892694778883303</v>
      </c>
      <c r="J51" s="2">
        <v>0.15040179037063892</v>
      </c>
      <c r="K51" s="2">
        <f t="shared" si="1"/>
        <v>-0.11347722844881734</v>
      </c>
      <c r="L51" s="2">
        <v>0.57241754463991534</v>
      </c>
      <c r="M51" s="2">
        <v>0.37088866974275386</v>
      </c>
      <c r="N51" s="2">
        <v>-0.2398468804327672</v>
      </c>
      <c r="O51" s="2">
        <v>-0.3125487919904501</v>
      </c>
      <c r="P51" s="2">
        <v>1.0016271346581034</v>
      </c>
      <c r="Q51" s="2">
        <v>1.0016271346581025</v>
      </c>
      <c r="R51" s="2">
        <v>1.4608891203310947</v>
      </c>
      <c r="S51" s="2">
        <v>-0.12420084087490438</v>
      </c>
      <c r="T51" s="2">
        <v>-0.5012359916849658</v>
      </c>
      <c r="U51" s="2">
        <v>1.3981159993760282</v>
      </c>
      <c r="V51" s="2">
        <v>2.25</v>
      </c>
      <c r="W51" s="2">
        <v>2.16</v>
      </c>
      <c r="X51" s="2">
        <v>51.8</v>
      </c>
      <c r="Y51" s="2">
        <v>25.6</v>
      </c>
      <c r="Z51" s="2">
        <v>51.2</v>
      </c>
      <c r="AA51" s="2">
        <v>21.2</v>
      </c>
      <c r="AB51" s="2">
        <v>82</v>
      </c>
      <c r="AC51" s="2">
        <v>92</v>
      </c>
      <c r="AD51" s="2">
        <v>13666.666666666666</v>
      </c>
      <c r="AE51" s="2">
        <v>15333.333333333334</v>
      </c>
      <c r="AF51" s="2">
        <v>78</v>
      </c>
      <c r="AG51" s="2">
        <v>64</v>
      </c>
      <c r="AH51" s="2">
        <v>16.399999999999999</v>
      </c>
      <c r="AI51" s="2">
        <v>13000</v>
      </c>
      <c r="AJ51" s="2">
        <v>10666.666666666666</v>
      </c>
      <c r="AK51" s="2">
        <v>2733.3333333333335</v>
      </c>
      <c r="AL51" s="2">
        <v>85</v>
      </c>
      <c r="AM51" s="2">
        <v>71</v>
      </c>
      <c r="AN51" s="2">
        <v>17.2</v>
      </c>
      <c r="AO51" s="2">
        <v>14166.666666666666</v>
      </c>
      <c r="AP51" s="2">
        <v>11833.333333333334</v>
      </c>
      <c r="AQ51" s="2">
        <v>2866.6666666666665</v>
      </c>
      <c r="AR51" s="2">
        <v>10666.666666666666</v>
      </c>
      <c r="AS51" s="2">
        <v>11833.333333333334</v>
      </c>
    </row>
    <row r="52" spans="1:45" x14ac:dyDescent="0.25">
      <c r="A52" t="s">
        <v>64</v>
      </c>
      <c r="B52" s="3">
        <v>0.15773815682426678</v>
      </c>
      <c r="C52" s="3">
        <v>0.12647148710603984</v>
      </c>
      <c r="D52" s="3">
        <v>0.60924868707474278</v>
      </c>
      <c r="E52" s="3">
        <v>0.44779643650224332</v>
      </c>
      <c r="F52" s="3">
        <v>1.4846704294250026</v>
      </c>
      <c r="G52" s="3">
        <v>-0.16049764830939248</v>
      </c>
      <c r="H52" s="3">
        <v>-0.3773562472682736</v>
      </c>
      <c r="I52" s="2">
        <f t="shared" si="0"/>
        <v>-0.26892694778883303</v>
      </c>
      <c r="J52" s="2">
        <v>0.15040179037063892</v>
      </c>
      <c r="K52" s="2">
        <f t="shared" si="1"/>
        <v>-0.11347722844881734</v>
      </c>
      <c r="L52" s="2">
        <v>0.57241754463991534</v>
      </c>
      <c r="M52" s="2">
        <v>0.37088866974275386</v>
      </c>
      <c r="N52" s="2">
        <v>-0.17609629668481508</v>
      </c>
      <c r="O52" s="2">
        <v>-0.36607658530921994</v>
      </c>
      <c r="P52" s="2">
        <v>1.0016271346581034</v>
      </c>
      <c r="Q52" s="2">
        <v>1.0016271346581025</v>
      </c>
      <c r="R52" s="2">
        <v>1.4608891203310947</v>
      </c>
      <c r="S52" s="2">
        <v>-5.0877286904984283E-2</v>
      </c>
      <c r="T52" s="2">
        <v>-0.5012359916849658</v>
      </c>
      <c r="U52" s="2">
        <v>1.3981159993760282</v>
      </c>
      <c r="V52" s="2">
        <v>2.1</v>
      </c>
      <c r="W52" s="2">
        <v>2.13</v>
      </c>
      <c r="X52" s="2">
        <v>51.8</v>
      </c>
      <c r="Y52" s="2">
        <v>25.6</v>
      </c>
      <c r="Z52" s="2">
        <v>51.2</v>
      </c>
      <c r="AA52" s="2">
        <v>21.2</v>
      </c>
      <c r="AB52" s="2">
        <v>82</v>
      </c>
      <c r="AC52" s="2">
        <v>92</v>
      </c>
      <c r="AD52" s="2">
        <v>13666.666666666666</v>
      </c>
      <c r="AE52" s="2">
        <v>15333.333333333334</v>
      </c>
      <c r="AF52" s="2">
        <v>78</v>
      </c>
      <c r="AG52" s="2">
        <v>64</v>
      </c>
      <c r="AH52" s="2">
        <v>16.399999999999999</v>
      </c>
      <c r="AI52" s="2">
        <v>13000</v>
      </c>
      <c r="AJ52" s="2">
        <v>10666.666666666666</v>
      </c>
      <c r="AK52" s="2">
        <v>2733.3333333333335</v>
      </c>
      <c r="AL52" s="2">
        <v>85</v>
      </c>
      <c r="AM52" s="2">
        <v>71</v>
      </c>
      <c r="AN52" s="2">
        <v>17.2</v>
      </c>
      <c r="AO52" s="2">
        <v>14166.666666666666</v>
      </c>
      <c r="AP52" s="2">
        <v>11833.333333333334</v>
      </c>
      <c r="AQ52" s="2">
        <v>2866.6666666666665</v>
      </c>
      <c r="AR52" s="2">
        <v>10666.666666666666</v>
      </c>
      <c r="AS52" s="2">
        <v>11833.333333333334</v>
      </c>
    </row>
    <row r="53" spans="1:45" x14ac:dyDescent="0.25">
      <c r="A53" t="s">
        <v>64</v>
      </c>
      <c r="B53" s="3">
        <v>-0.36769231690661947</v>
      </c>
      <c r="C53" s="3">
        <v>-0.49220983569145837</v>
      </c>
      <c r="D53" s="3">
        <v>-0.23237470234005148</v>
      </c>
      <c r="E53" s="3">
        <v>-0.73583208262465549</v>
      </c>
      <c r="F53" s="3">
        <v>1.7475594897102027</v>
      </c>
      <c r="G53" s="3">
        <v>-1.3713340048992686</v>
      </c>
      <c r="H53" s="3">
        <v>-2.0709670236985138</v>
      </c>
      <c r="I53" s="2">
        <f t="shared" si="0"/>
        <v>-1.7211505142988912</v>
      </c>
      <c r="J53" s="2">
        <v>-1.387445742401934</v>
      </c>
      <c r="K53" s="2">
        <f t="shared" si="1"/>
        <v>-1.729206383050224</v>
      </c>
      <c r="L53" s="2">
        <v>-0.88335580005892611</v>
      </c>
      <c r="M53" s="2">
        <v>-1.0364463632868144</v>
      </c>
      <c r="N53" s="2">
        <v>4.1338985259893937</v>
      </c>
      <c r="O53" s="2">
        <v>4.5176541169779165</v>
      </c>
      <c r="P53" s="2">
        <v>1.0239618735098284</v>
      </c>
      <c r="Q53" s="2">
        <v>1.0239618735098268</v>
      </c>
      <c r="R53" s="2">
        <v>0.23442839112945332</v>
      </c>
      <c r="S53" s="2">
        <v>4.9309447285938335</v>
      </c>
      <c r="T53" s="2">
        <v>-0.5012359916849658</v>
      </c>
      <c r="U53" s="2">
        <v>1.6590084585897358</v>
      </c>
      <c r="V53" s="2">
        <v>2.2999999999999998</v>
      </c>
      <c r="W53" s="2">
        <v>2.02</v>
      </c>
      <c r="X53" s="2">
        <v>54.8</v>
      </c>
      <c r="Y53" s="2">
        <v>22</v>
      </c>
      <c r="Z53" s="2">
        <v>54.2</v>
      </c>
      <c r="AA53" s="2">
        <v>21</v>
      </c>
      <c r="AB53" s="2">
        <v>95</v>
      </c>
      <c r="AC53" s="2">
        <v>98</v>
      </c>
      <c r="AD53" s="2">
        <v>15833.333333333334</v>
      </c>
      <c r="AE53" s="2">
        <v>16333.333333333334</v>
      </c>
      <c r="AF53" s="2">
        <v>96</v>
      </c>
      <c r="AG53" s="2">
        <v>59</v>
      </c>
      <c r="AH53" s="2">
        <v>15.4</v>
      </c>
      <c r="AI53" s="2">
        <v>16000</v>
      </c>
      <c r="AJ53" s="2">
        <v>9833.3333333333339</v>
      </c>
      <c r="AK53" s="2">
        <v>2566.6666666666665</v>
      </c>
      <c r="AL53" s="2">
        <v>98</v>
      </c>
      <c r="AM53" s="2">
        <v>40</v>
      </c>
      <c r="AN53" s="2">
        <v>10.5</v>
      </c>
      <c r="AO53" s="2">
        <v>16333.333333333334</v>
      </c>
      <c r="AP53" s="2">
        <v>6666.666666666667</v>
      </c>
      <c r="AQ53" s="2">
        <v>1750</v>
      </c>
      <c r="AR53" s="2">
        <v>9833.3333333333339</v>
      </c>
      <c r="AS53" s="2">
        <v>6666.666666666667</v>
      </c>
    </row>
    <row r="54" spans="1:45" x14ac:dyDescent="0.25">
      <c r="A54" t="s">
        <v>64</v>
      </c>
      <c r="B54" s="3">
        <v>-0.40767686316234431</v>
      </c>
      <c r="C54" s="3">
        <v>-0.49965924455885585</v>
      </c>
      <c r="D54" s="3">
        <v>-0.30840933949645827</v>
      </c>
      <c r="E54" s="3">
        <v>-0.55318259331040431</v>
      </c>
      <c r="F54" s="3">
        <v>1.5840867815021435</v>
      </c>
      <c r="G54" s="3">
        <v>-1.3713340048992686</v>
      </c>
      <c r="H54" s="3">
        <v>-2.0709670236985138</v>
      </c>
      <c r="I54" s="2">
        <f t="shared" si="0"/>
        <v>-1.7211505142988912</v>
      </c>
      <c r="J54" s="2">
        <v>-1.387445742401934</v>
      </c>
      <c r="K54" s="2">
        <f t="shared" si="1"/>
        <v>-1.729206383050224</v>
      </c>
      <c r="L54" s="2">
        <v>-0.88335580005892611</v>
      </c>
      <c r="M54" s="2">
        <v>-1.0364463632868144</v>
      </c>
      <c r="N54" s="2">
        <v>3.9371173873796299</v>
      </c>
      <c r="O54" s="2">
        <v>4.3464861451224133</v>
      </c>
      <c r="P54" s="2">
        <v>1.0239618735098284</v>
      </c>
      <c r="Q54" s="2">
        <v>1.0239618735098268</v>
      </c>
      <c r="R54" s="2">
        <v>0.23442839112945332</v>
      </c>
      <c r="S54" s="2">
        <v>4.7036129089157788</v>
      </c>
      <c r="T54" s="2">
        <v>-0.5012359916849658</v>
      </c>
      <c r="U54" s="2">
        <v>1.6590084585897358</v>
      </c>
      <c r="V54" s="2">
        <v>2.4</v>
      </c>
      <c r="W54" s="2">
        <v>2.11</v>
      </c>
      <c r="X54" s="2">
        <v>54.8</v>
      </c>
      <c r="Y54" s="2">
        <v>22</v>
      </c>
      <c r="Z54" s="2">
        <v>54.2</v>
      </c>
      <c r="AA54" s="2">
        <v>21</v>
      </c>
      <c r="AB54" s="2">
        <v>95</v>
      </c>
      <c r="AC54" s="2">
        <v>98</v>
      </c>
      <c r="AD54" s="2">
        <v>15833.333333333334</v>
      </c>
      <c r="AE54" s="2">
        <v>16333.333333333334</v>
      </c>
      <c r="AF54" s="2">
        <v>96</v>
      </c>
      <c r="AG54" s="2">
        <v>59</v>
      </c>
      <c r="AH54" s="2">
        <v>15.4</v>
      </c>
      <c r="AI54" s="2">
        <v>16000</v>
      </c>
      <c r="AJ54" s="2">
        <v>9833.3333333333339</v>
      </c>
      <c r="AK54" s="2">
        <v>2566.6666666666665</v>
      </c>
      <c r="AL54" s="2">
        <v>98</v>
      </c>
      <c r="AM54" s="2">
        <v>40</v>
      </c>
      <c r="AN54" s="2">
        <v>10.5</v>
      </c>
      <c r="AO54" s="2">
        <v>16333.333333333334</v>
      </c>
      <c r="AP54" s="2">
        <v>6666.666666666667</v>
      </c>
      <c r="AQ54" s="2">
        <v>1750</v>
      </c>
      <c r="AR54" s="2">
        <v>9833.3333333333339</v>
      </c>
      <c r="AS54" s="2">
        <v>6666.666666666667</v>
      </c>
    </row>
    <row r="55" spans="1:45" x14ac:dyDescent="0.25">
      <c r="A55" t="s">
        <v>64</v>
      </c>
      <c r="B55" s="3">
        <v>-0.64529847385268901</v>
      </c>
      <c r="C55" s="3">
        <v>-0.37308652401560949</v>
      </c>
      <c r="D55" s="3">
        <v>-0.84912087289818694</v>
      </c>
      <c r="E55" s="3">
        <v>-0.27859164386936852</v>
      </c>
      <c r="F55" s="3">
        <v>1.8604885261960769</v>
      </c>
      <c r="G55" s="3">
        <v>-1.3713340048992686</v>
      </c>
      <c r="H55" s="3">
        <v>-2.0709670236985138</v>
      </c>
      <c r="I55" s="2">
        <f t="shared" si="0"/>
        <v>-1.7211505142988912</v>
      </c>
      <c r="J55" s="2">
        <v>-1.387445742401934</v>
      </c>
      <c r="K55" s="2">
        <f t="shared" si="1"/>
        <v>-1.729206383050224</v>
      </c>
      <c r="L55" s="2">
        <v>-0.88335580005892611</v>
      </c>
      <c r="M55" s="2">
        <v>-1.0364463632868144</v>
      </c>
      <c r="N55" s="2">
        <v>4.7860409770845251</v>
      </c>
      <c r="O55" s="2">
        <v>4.6358991293374601</v>
      </c>
      <c r="P55" s="2">
        <v>1.0239618735098284</v>
      </c>
      <c r="Q55" s="2">
        <v>1.0239618735098268</v>
      </c>
      <c r="R55" s="2">
        <v>0.23442839112945332</v>
      </c>
      <c r="S55" s="2">
        <v>5.6843336516591174</v>
      </c>
      <c r="T55" s="2">
        <v>-0.5012359916849658</v>
      </c>
      <c r="U55" s="2">
        <v>1.6590084585897358</v>
      </c>
      <c r="V55" s="2">
        <v>2.2999999999999998</v>
      </c>
      <c r="W55" s="2">
        <v>2</v>
      </c>
      <c r="X55" s="2">
        <v>54.8</v>
      </c>
      <c r="Y55" s="2">
        <v>22</v>
      </c>
      <c r="Z55" s="2">
        <v>54.2</v>
      </c>
      <c r="AA55" s="2">
        <v>21</v>
      </c>
      <c r="AB55" s="2">
        <v>95</v>
      </c>
      <c r="AC55" s="2">
        <v>98</v>
      </c>
      <c r="AD55" s="2">
        <v>15833.333333333334</v>
      </c>
      <c r="AE55" s="2">
        <v>16333.333333333334</v>
      </c>
      <c r="AF55" s="2">
        <v>96</v>
      </c>
      <c r="AG55" s="2">
        <v>59</v>
      </c>
      <c r="AH55" s="2">
        <v>15.4</v>
      </c>
      <c r="AI55" s="2">
        <v>16000</v>
      </c>
      <c r="AJ55" s="2">
        <v>9833.3333333333339</v>
      </c>
      <c r="AK55" s="2">
        <v>2566.6666666666665</v>
      </c>
      <c r="AL55" s="2">
        <v>98</v>
      </c>
      <c r="AM55" s="2">
        <v>40</v>
      </c>
      <c r="AN55" s="2">
        <v>10.5</v>
      </c>
      <c r="AO55" s="2">
        <v>16333.333333333334</v>
      </c>
      <c r="AP55" s="2">
        <v>6666.666666666667</v>
      </c>
      <c r="AQ55" s="2">
        <v>1750</v>
      </c>
      <c r="AR55" s="2">
        <v>9833.3333333333339</v>
      </c>
      <c r="AS55" s="2">
        <v>6666.666666666667</v>
      </c>
    </row>
    <row r="56" spans="1:45" x14ac:dyDescent="0.25">
      <c r="A56" t="s">
        <v>65</v>
      </c>
      <c r="B56" s="3">
        <v>-0.22490857606282716</v>
      </c>
      <c r="C56" s="3">
        <v>-0.28733513200677668</v>
      </c>
      <c r="D56" s="3">
        <v>-0.10737816604482862</v>
      </c>
      <c r="E56" s="3">
        <v>-0.10719792178328039</v>
      </c>
      <c r="F56" s="3">
        <v>-8.2489487904282857E-2</v>
      </c>
      <c r="G56" s="3">
        <v>0.80406690694016991</v>
      </c>
      <c r="H56" s="3">
        <v>1.1021198332914766</v>
      </c>
      <c r="I56" s="2">
        <f t="shared" si="0"/>
        <v>0.95309337011582329</v>
      </c>
      <c r="J56" s="2">
        <v>0.46973625072778519</v>
      </c>
      <c r="K56" s="2">
        <f t="shared" si="1"/>
        <v>0.78592804200963085</v>
      </c>
      <c r="L56" s="2">
        <v>-0.5339701973312041</v>
      </c>
      <c r="M56" s="2">
        <v>-0.69319391620643178</v>
      </c>
      <c r="N56" s="2">
        <v>5.3861166120307308E-2</v>
      </c>
      <c r="O56" s="2">
        <v>-0.17676359876938819</v>
      </c>
      <c r="P56" s="2">
        <v>-0.89682566773847305</v>
      </c>
      <c r="Q56" s="2">
        <v>-0.8968256677384735</v>
      </c>
      <c r="R56" s="2">
        <v>1.143553127460903E-2</v>
      </c>
      <c r="S56" s="2">
        <v>-0.11464474377655816</v>
      </c>
      <c r="T56" s="2">
        <v>0.30877244791643055</v>
      </c>
      <c r="U56" s="2">
        <v>-0.16723875590622275</v>
      </c>
      <c r="V56" s="2">
        <v>1.9</v>
      </c>
      <c r="W56" s="2">
        <v>1.92</v>
      </c>
      <c r="X56" s="2">
        <v>51.2</v>
      </c>
      <c r="Y56" s="2">
        <v>23.4</v>
      </c>
      <c r="Z56" s="2">
        <v>51.4</v>
      </c>
      <c r="AA56" s="2">
        <v>19.2</v>
      </c>
      <c r="AB56" s="2">
        <v>76</v>
      </c>
      <c r="AC56" s="2">
        <v>99</v>
      </c>
      <c r="AD56" s="2">
        <v>12666.666666666666</v>
      </c>
      <c r="AE56" s="2">
        <v>16500</v>
      </c>
      <c r="AF56" s="2">
        <v>84</v>
      </c>
      <c r="AG56" s="2">
        <v>54</v>
      </c>
      <c r="AH56" s="2">
        <v>16</v>
      </c>
      <c r="AI56" s="2">
        <v>14000</v>
      </c>
      <c r="AJ56" s="2">
        <v>9000</v>
      </c>
      <c r="AK56" s="2">
        <v>2666.6666666666665</v>
      </c>
      <c r="AL56" s="2">
        <v>84</v>
      </c>
      <c r="AM56" s="2">
        <v>47</v>
      </c>
      <c r="AN56" s="2">
        <v>10.17</v>
      </c>
      <c r="AO56" s="2">
        <v>14000</v>
      </c>
      <c r="AP56" s="2">
        <v>7833.333333333333</v>
      </c>
      <c r="AQ56" s="2">
        <v>1695</v>
      </c>
      <c r="AR56" s="2">
        <v>9000</v>
      </c>
      <c r="AS56" s="2">
        <v>7833.333333333333</v>
      </c>
    </row>
    <row r="57" spans="1:45" x14ac:dyDescent="0.25">
      <c r="A57" t="s">
        <v>65</v>
      </c>
      <c r="B57" s="3">
        <v>-0.51634258517227705</v>
      </c>
      <c r="C57" s="3">
        <v>-0.30665203396043622</v>
      </c>
      <c r="D57" s="3">
        <v>-0.61455429139363993</v>
      </c>
      <c r="E57" s="3">
        <v>-0.18897299906112439</v>
      </c>
      <c r="F57" s="3">
        <v>-4.4680187525589443E-2</v>
      </c>
      <c r="G57" s="3">
        <v>0.80406690694016991</v>
      </c>
      <c r="H57" s="3">
        <v>1.1021198332914766</v>
      </c>
      <c r="I57" s="2">
        <f t="shared" si="0"/>
        <v>0.95309337011582329</v>
      </c>
      <c r="J57" s="2">
        <v>0.46973625072778519</v>
      </c>
      <c r="K57" s="2">
        <f t="shared" si="1"/>
        <v>0.78592804200963085</v>
      </c>
      <c r="L57" s="2">
        <v>-0.5339701973312041</v>
      </c>
      <c r="M57" s="2">
        <v>-0.69319391620643178</v>
      </c>
      <c r="N57" s="2">
        <v>-0.1273075846328085</v>
      </c>
      <c r="O57" s="2">
        <v>-0.2315010597337806</v>
      </c>
      <c r="P57" s="2">
        <v>-0.89682566773847305</v>
      </c>
      <c r="Q57" s="2">
        <v>-0.8968256677384735</v>
      </c>
      <c r="R57" s="2">
        <v>1.143553127460903E-2</v>
      </c>
      <c r="S57" s="2">
        <v>-0.24464772278449776</v>
      </c>
      <c r="T57" s="2">
        <v>0.30877244791643055</v>
      </c>
      <c r="U57" s="2">
        <v>-0.16723875590622275</v>
      </c>
      <c r="V57" s="2">
        <v>1.95</v>
      </c>
      <c r="W57" s="2">
        <v>1.88</v>
      </c>
      <c r="X57" s="2">
        <v>51.2</v>
      </c>
      <c r="Y57" s="2">
        <v>23.4</v>
      </c>
      <c r="Z57" s="2">
        <v>51.4</v>
      </c>
      <c r="AA57" s="2">
        <v>19.2</v>
      </c>
      <c r="AB57" s="2">
        <v>76</v>
      </c>
      <c r="AC57" s="2">
        <v>99</v>
      </c>
      <c r="AD57" s="2">
        <v>12666.666666666666</v>
      </c>
      <c r="AE57" s="2">
        <v>16500</v>
      </c>
      <c r="AF57" s="2">
        <v>84</v>
      </c>
      <c r="AG57" s="2">
        <v>54</v>
      </c>
      <c r="AH57" s="2">
        <v>16</v>
      </c>
      <c r="AI57" s="2">
        <v>14000</v>
      </c>
      <c r="AJ57" s="2">
        <v>9000</v>
      </c>
      <c r="AK57" s="2">
        <v>2666.6666666666665</v>
      </c>
      <c r="AL57" s="2">
        <v>84</v>
      </c>
      <c r="AM57" s="2">
        <v>47</v>
      </c>
      <c r="AN57" s="2">
        <v>10.17</v>
      </c>
      <c r="AO57" s="2">
        <v>14000</v>
      </c>
      <c r="AP57" s="2">
        <v>7833.333333333333</v>
      </c>
      <c r="AQ57" s="2">
        <v>1695</v>
      </c>
      <c r="AR57" s="2">
        <v>9000</v>
      </c>
      <c r="AS57" s="2">
        <v>7833.333333333333</v>
      </c>
    </row>
    <row r="58" spans="1:45" x14ac:dyDescent="0.25">
      <c r="A58" t="s">
        <v>65</v>
      </c>
      <c r="B58" s="3">
        <v>-0.51482591025301172</v>
      </c>
      <c r="C58" s="3">
        <v>-0.45630997712111282</v>
      </c>
      <c r="D58" s="3">
        <v>-0.63586602574698303</v>
      </c>
      <c r="E58" s="3">
        <v>-0.64193747505398546</v>
      </c>
      <c r="F58" s="3">
        <v>-0.18997594699491879</v>
      </c>
      <c r="G58" s="3">
        <v>0.80406690694016991</v>
      </c>
      <c r="H58" s="3">
        <v>1.1021198332914766</v>
      </c>
      <c r="I58" s="2">
        <f t="shared" si="0"/>
        <v>0.95309337011582329</v>
      </c>
      <c r="J58" s="2">
        <v>0.46973625072778519</v>
      </c>
      <c r="K58" s="2">
        <f t="shared" si="1"/>
        <v>0.78592804200963085</v>
      </c>
      <c r="L58" s="2">
        <v>-0.5339701973312041</v>
      </c>
      <c r="M58" s="2">
        <v>-0.69319391620643178</v>
      </c>
      <c r="N58" s="2">
        <v>-0.46817805283615577</v>
      </c>
      <c r="O58" s="2">
        <v>-0.27353701041914313</v>
      </c>
      <c r="P58" s="2">
        <v>-0.89682566773847305</v>
      </c>
      <c r="Q58" s="2">
        <v>-0.8968256677384735</v>
      </c>
      <c r="R58" s="2">
        <v>1.143553127460903E-2</v>
      </c>
      <c r="S58" s="2">
        <v>-0.48924937808130203</v>
      </c>
      <c r="T58" s="2">
        <v>0.30877244791643055</v>
      </c>
      <c r="U58" s="2">
        <v>-0.16723875590622275</v>
      </c>
      <c r="V58" s="2">
        <v>1.9</v>
      </c>
      <c r="W58" s="2">
        <v>1.85</v>
      </c>
      <c r="X58" s="2">
        <v>51.2</v>
      </c>
      <c r="Y58" s="2">
        <v>23.4</v>
      </c>
      <c r="Z58" s="2">
        <v>51.4</v>
      </c>
      <c r="AA58" s="2">
        <v>19.2</v>
      </c>
      <c r="AB58" s="2">
        <v>76</v>
      </c>
      <c r="AC58" s="2">
        <v>99</v>
      </c>
      <c r="AD58" s="2">
        <v>12666.666666666666</v>
      </c>
      <c r="AE58" s="2">
        <v>16500</v>
      </c>
      <c r="AF58" s="2">
        <v>84</v>
      </c>
      <c r="AG58" s="2">
        <v>54</v>
      </c>
      <c r="AH58" s="2">
        <v>16</v>
      </c>
      <c r="AI58" s="2">
        <v>14000</v>
      </c>
      <c r="AJ58" s="2">
        <v>9000</v>
      </c>
      <c r="AK58" s="2">
        <v>2666.6666666666665</v>
      </c>
      <c r="AL58" s="2">
        <v>84</v>
      </c>
      <c r="AM58" s="2">
        <v>47</v>
      </c>
      <c r="AN58" s="2">
        <v>10.17</v>
      </c>
      <c r="AO58" s="2">
        <v>14000</v>
      </c>
      <c r="AP58" s="2">
        <v>7833.333333333333</v>
      </c>
      <c r="AQ58" s="2">
        <v>1695</v>
      </c>
      <c r="AR58" s="2">
        <v>9000</v>
      </c>
      <c r="AS58" s="2">
        <v>7833.333333333333</v>
      </c>
    </row>
    <row r="59" spans="1:45" x14ac:dyDescent="0.25">
      <c r="A59" t="s">
        <v>65</v>
      </c>
      <c r="B59" s="3">
        <v>0.91511415222392645</v>
      </c>
      <c r="C59" s="3">
        <v>0.79144034711410982</v>
      </c>
      <c r="D59" s="3">
        <v>1.4347333078208979</v>
      </c>
      <c r="E59" s="3">
        <v>1.5010814053949879</v>
      </c>
      <c r="F59" s="3">
        <v>0.18532640041081885</v>
      </c>
      <c r="G59" s="3">
        <v>1.235042559285719</v>
      </c>
      <c r="H59" s="3">
        <v>1.7445239209029471</v>
      </c>
      <c r="I59" s="2">
        <f t="shared" si="0"/>
        <v>1.4897832400943329</v>
      </c>
      <c r="J59" s="2">
        <v>1.2092476326074924</v>
      </c>
      <c r="K59" s="2">
        <f t="shared" si="1"/>
        <v>1.4768857767552197</v>
      </c>
      <c r="L59" s="2">
        <v>0.68160054549232851</v>
      </c>
      <c r="M59" s="2">
        <v>0.39834886550918447</v>
      </c>
      <c r="N59" s="2">
        <v>-0.33059388484949953</v>
      </c>
      <c r="O59" s="2">
        <v>-0.28381918540692874</v>
      </c>
      <c r="P59" s="2">
        <v>0.73361026843741095</v>
      </c>
      <c r="Q59" s="2">
        <v>0.73361026843740995</v>
      </c>
      <c r="R59" s="2">
        <v>0.54661839492623487</v>
      </c>
      <c r="S59" s="2">
        <v>-0.25143779905288804</v>
      </c>
      <c r="T59" s="2">
        <v>0.74077694903717495</v>
      </c>
      <c r="U59" s="2">
        <v>1.0502593870910832</v>
      </c>
      <c r="V59" s="2">
        <v>2.2999999999999998</v>
      </c>
      <c r="W59" s="2">
        <v>2.2200000000000002</v>
      </c>
      <c r="X59" s="2">
        <v>55.8</v>
      </c>
      <c r="Y59" s="2">
        <v>23</v>
      </c>
      <c r="Z59" s="2">
        <v>52</v>
      </c>
      <c r="AA59" s="2">
        <v>20.8</v>
      </c>
      <c r="AB59" s="2">
        <v>88</v>
      </c>
      <c r="AC59" s="2">
        <v>114</v>
      </c>
      <c r="AD59" s="2">
        <v>14666.666666666666</v>
      </c>
      <c r="AE59" s="2">
        <v>19000</v>
      </c>
      <c r="AF59" s="2">
        <v>95</v>
      </c>
      <c r="AG59" s="2">
        <v>73</v>
      </c>
      <c r="AH59" s="2">
        <v>19.100000000000001</v>
      </c>
      <c r="AI59" s="2">
        <v>15833.333333333334</v>
      </c>
      <c r="AJ59" s="2">
        <v>12166.666666666666</v>
      </c>
      <c r="AK59" s="2">
        <v>3183.3333333333335</v>
      </c>
      <c r="AL59" s="2">
        <v>99</v>
      </c>
      <c r="AM59" s="2">
        <v>78</v>
      </c>
      <c r="AN59" s="2">
        <v>20.5</v>
      </c>
      <c r="AO59" s="2">
        <v>16500</v>
      </c>
      <c r="AP59" s="2">
        <v>13000</v>
      </c>
      <c r="AQ59" s="2">
        <v>3416.6666666666665</v>
      </c>
      <c r="AR59" s="2">
        <v>12166.666666666666</v>
      </c>
      <c r="AS59" s="2">
        <v>13000</v>
      </c>
    </row>
    <row r="60" spans="1:45" x14ac:dyDescent="0.25">
      <c r="A60" t="s">
        <v>65</v>
      </c>
      <c r="B60" s="3">
        <v>1.0415675009854202</v>
      </c>
      <c r="C60" s="3">
        <v>0.44606289037369584</v>
      </c>
      <c r="D60" s="3">
        <v>1.4784112656863893</v>
      </c>
      <c r="E60" s="3">
        <v>0.86954772669877312</v>
      </c>
      <c r="F60" s="3">
        <v>0.33876914125787372</v>
      </c>
      <c r="G60" s="3">
        <v>1.235042559285719</v>
      </c>
      <c r="H60" s="3">
        <v>1.7445239209029471</v>
      </c>
      <c r="I60" s="2">
        <f t="shared" si="0"/>
        <v>1.4897832400943329</v>
      </c>
      <c r="J60" s="2">
        <v>1.2092476326074924</v>
      </c>
      <c r="K60" s="2">
        <f t="shared" si="1"/>
        <v>1.4768857767552197</v>
      </c>
      <c r="L60" s="2">
        <v>0.68160054549232851</v>
      </c>
      <c r="M60" s="2">
        <v>0.39834886550918447</v>
      </c>
      <c r="N60" s="2">
        <v>-0.39109188779398635</v>
      </c>
      <c r="O60" s="2">
        <v>-0.37303217427154661</v>
      </c>
      <c r="P60" s="2">
        <v>0.73361026843741095</v>
      </c>
      <c r="Q60" s="2">
        <v>0.73361026843740995</v>
      </c>
      <c r="R60" s="2">
        <v>0.54661839492623487</v>
      </c>
      <c r="S60" s="2">
        <v>-0.31732570636322543</v>
      </c>
      <c r="T60" s="2">
        <v>0.74077694903717495</v>
      </c>
      <c r="U60" s="2">
        <v>1.0502593870910832</v>
      </c>
      <c r="V60" s="2">
        <v>2.1</v>
      </c>
      <c r="W60" s="2">
        <v>2.1800000000000002</v>
      </c>
      <c r="X60" s="2">
        <v>55.8</v>
      </c>
      <c r="Y60" s="2">
        <v>23</v>
      </c>
      <c r="Z60" s="2">
        <v>52</v>
      </c>
      <c r="AA60" s="2">
        <v>20.8</v>
      </c>
      <c r="AB60" s="2">
        <v>88</v>
      </c>
      <c r="AC60" s="2">
        <v>114</v>
      </c>
      <c r="AD60" s="2">
        <v>14666.666666666666</v>
      </c>
      <c r="AE60" s="2">
        <v>19000</v>
      </c>
      <c r="AF60" s="2">
        <v>95</v>
      </c>
      <c r="AG60" s="2">
        <v>73</v>
      </c>
      <c r="AH60" s="2">
        <v>19.100000000000001</v>
      </c>
      <c r="AI60" s="2">
        <v>15833.333333333334</v>
      </c>
      <c r="AJ60" s="2">
        <v>12166.666666666666</v>
      </c>
      <c r="AK60" s="2">
        <v>3183.3333333333335</v>
      </c>
      <c r="AL60" s="2">
        <v>99</v>
      </c>
      <c r="AM60" s="2">
        <v>78</v>
      </c>
      <c r="AN60" s="2">
        <v>20.5</v>
      </c>
      <c r="AO60" s="2">
        <v>16500</v>
      </c>
      <c r="AP60" s="2">
        <v>13000</v>
      </c>
      <c r="AQ60" s="2">
        <v>3416.6666666666665</v>
      </c>
      <c r="AR60" s="2">
        <v>12166.666666666666</v>
      </c>
      <c r="AS60" s="2">
        <v>13000</v>
      </c>
    </row>
    <row r="61" spans="1:45" x14ac:dyDescent="0.25">
      <c r="A61" t="s">
        <v>65</v>
      </c>
      <c r="B61" s="3">
        <v>1.2124728858002265</v>
      </c>
      <c r="C61" s="3">
        <v>-0.43374327056988843</v>
      </c>
      <c r="D61" s="3">
        <v>1.460649423767447</v>
      </c>
      <c r="E61" s="3">
        <v>-0.47185566088619296</v>
      </c>
      <c r="F61" s="3">
        <v>0.3403445234573067</v>
      </c>
      <c r="G61" s="3">
        <v>1.235042559285719</v>
      </c>
      <c r="H61" s="3">
        <v>1.7445239209029471</v>
      </c>
      <c r="I61" s="2">
        <f t="shared" si="0"/>
        <v>1.4897832400943329</v>
      </c>
      <c r="J61" s="2">
        <v>1.2092476326074924</v>
      </c>
      <c r="K61" s="2">
        <f t="shared" si="1"/>
        <v>1.4768857767552197</v>
      </c>
      <c r="L61" s="2">
        <v>0.68160054549232851</v>
      </c>
      <c r="M61" s="2">
        <v>0.39834886550918447</v>
      </c>
      <c r="N61" s="2">
        <v>-0.41808830846276329</v>
      </c>
      <c r="O61" s="2">
        <v>-0.29258927583768835</v>
      </c>
      <c r="P61" s="2">
        <v>0.73361026843741095</v>
      </c>
      <c r="Q61" s="2">
        <v>0.73361026843740995</v>
      </c>
      <c r="R61" s="2">
        <v>0.54661839492623487</v>
      </c>
      <c r="S61" s="2">
        <v>-0.34672729941031211</v>
      </c>
      <c r="T61" s="2">
        <v>0.74077694903717495</v>
      </c>
      <c r="U61" s="2">
        <v>1.0502593870910832</v>
      </c>
      <c r="V61" s="2">
        <v>2.25</v>
      </c>
      <c r="W61" s="2">
        <v>2.17</v>
      </c>
      <c r="X61" s="2">
        <v>55.8</v>
      </c>
      <c r="Y61" s="2">
        <v>23</v>
      </c>
      <c r="Z61" s="2">
        <v>52</v>
      </c>
      <c r="AA61" s="2">
        <v>20.8</v>
      </c>
      <c r="AB61" s="2">
        <v>88</v>
      </c>
      <c r="AC61" s="2">
        <v>114</v>
      </c>
      <c r="AD61" s="2">
        <v>14666.666666666666</v>
      </c>
      <c r="AE61" s="2">
        <v>19000</v>
      </c>
      <c r="AF61" s="2">
        <v>95</v>
      </c>
      <c r="AG61" s="2">
        <v>73</v>
      </c>
      <c r="AH61" s="2">
        <v>19.100000000000001</v>
      </c>
      <c r="AI61" s="2">
        <v>15833.333333333334</v>
      </c>
      <c r="AJ61" s="2">
        <v>12166.666666666666</v>
      </c>
      <c r="AK61" s="2">
        <v>3183.3333333333335</v>
      </c>
      <c r="AL61" s="2">
        <v>99</v>
      </c>
      <c r="AM61" s="2">
        <v>78</v>
      </c>
      <c r="AN61" s="2">
        <v>20.5</v>
      </c>
      <c r="AO61" s="2">
        <v>16500</v>
      </c>
      <c r="AP61" s="2">
        <v>13000</v>
      </c>
      <c r="AQ61" s="2">
        <v>3416.6666666666665</v>
      </c>
      <c r="AR61" s="2">
        <v>12166.666666666666</v>
      </c>
      <c r="AS61" s="2">
        <v>13000</v>
      </c>
    </row>
    <row r="62" spans="1:45" x14ac:dyDescent="0.25">
      <c r="A62" t="s">
        <v>65</v>
      </c>
      <c r="B62" s="3">
        <v>-0.62049962814819037</v>
      </c>
      <c r="C62" s="3">
        <v>-0.46570320941008647</v>
      </c>
      <c r="D62" s="3">
        <v>-0.78136342297112615</v>
      </c>
      <c r="E62" s="3">
        <v>-0.60946452722670519</v>
      </c>
      <c r="F62" s="3">
        <v>-0.34906758199565407</v>
      </c>
      <c r="G62" s="3">
        <v>-0.89931305233033387</v>
      </c>
      <c r="H62" s="3">
        <v>0.44998235041316559</v>
      </c>
      <c r="I62" s="2">
        <f t="shared" si="0"/>
        <v>-0.22466535095858414</v>
      </c>
      <c r="J62" s="2">
        <v>0.16720886723154135</v>
      </c>
      <c r="K62" s="2">
        <f t="shared" si="1"/>
        <v>0.30859560882235348</v>
      </c>
      <c r="L62" s="2">
        <v>-0.14819026098601115</v>
      </c>
      <c r="M62" s="2">
        <v>-0.41859195854212583</v>
      </c>
      <c r="N62" s="2">
        <v>-3.5259547894690393E-2</v>
      </c>
      <c r="O62" s="2">
        <v>-0.19732794874496121</v>
      </c>
      <c r="P62" s="2">
        <v>0.3539197079580953</v>
      </c>
      <c r="Q62" s="2">
        <v>0.3539197079580943</v>
      </c>
      <c r="R62" s="2">
        <v>-0.4345501884350787</v>
      </c>
      <c r="S62" s="2">
        <v>1.2267773897132919E-2</v>
      </c>
      <c r="T62" s="2">
        <v>-0.5012359916849658</v>
      </c>
      <c r="U62" s="2">
        <v>0.61543862173490227</v>
      </c>
      <c r="V62" s="2">
        <v>2.1</v>
      </c>
      <c r="W62" s="2">
        <v>2.06</v>
      </c>
      <c r="X62" s="2">
        <v>52.827999999999996</v>
      </c>
      <c r="Y62" s="2">
        <v>21</v>
      </c>
      <c r="Z62" s="2">
        <v>48</v>
      </c>
      <c r="AA62" s="2">
        <v>19.8</v>
      </c>
      <c r="AB62" s="2">
        <v>93</v>
      </c>
      <c r="AC62" s="2">
        <v>78</v>
      </c>
      <c r="AD62" s="2">
        <v>15500</v>
      </c>
      <c r="AE62" s="2">
        <v>13000</v>
      </c>
      <c r="AF62" s="2">
        <v>79</v>
      </c>
      <c r="AG62" s="2">
        <v>25</v>
      </c>
      <c r="AH62" s="2">
        <v>6.7</v>
      </c>
      <c r="AI62" s="2">
        <v>13166.666666666666</v>
      </c>
      <c r="AJ62" s="2">
        <v>4166.666666666667</v>
      </c>
      <c r="AK62" s="2">
        <v>1116.6666666666667</v>
      </c>
      <c r="AL62" s="2">
        <v>58</v>
      </c>
      <c r="AM62" s="2">
        <v>5</v>
      </c>
      <c r="AN62" s="2">
        <v>1.2</v>
      </c>
      <c r="AO62" s="2">
        <v>9666.6666666666661</v>
      </c>
      <c r="AP62" s="2">
        <v>833.33333333333337</v>
      </c>
      <c r="AQ62" s="2">
        <v>200</v>
      </c>
      <c r="AR62" s="2">
        <v>4166.666666666667</v>
      </c>
      <c r="AS62" s="2">
        <v>833.33333333333337</v>
      </c>
    </row>
    <row r="63" spans="1:45" x14ac:dyDescent="0.25">
      <c r="A63" t="s">
        <v>65</v>
      </c>
      <c r="B63" s="3">
        <v>-0.6683639199266932</v>
      </c>
      <c r="C63" s="3">
        <v>6.2987699991121717</v>
      </c>
      <c r="D63" s="3">
        <v>-0.85358730873980082</v>
      </c>
      <c r="E63" s="3">
        <v>-0.74812508834469393</v>
      </c>
      <c r="F63" s="3">
        <v>-0.30255614611679765</v>
      </c>
      <c r="G63" s="3">
        <v>-0.89931305233033387</v>
      </c>
      <c r="H63" s="3">
        <v>0.44998235041316559</v>
      </c>
      <c r="I63" s="2">
        <f t="shared" si="0"/>
        <v>-0.22466535095858414</v>
      </c>
      <c r="J63" s="2">
        <v>0.16720886723154135</v>
      </c>
      <c r="K63" s="2">
        <f t="shared" si="1"/>
        <v>0.30859560882235348</v>
      </c>
      <c r="L63" s="2">
        <v>-0.14819026098601115</v>
      </c>
      <c r="M63" s="2">
        <v>-0.41859195854212583</v>
      </c>
      <c r="N63" s="2">
        <v>-6.2906484724161105E-2</v>
      </c>
      <c r="O63" s="2">
        <v>-0.25025090824092067</v>
      </c>
      <c r="P63" s="2">
        <v>0.3539197079580953</v>
      </c>
      <c r="Q63" s="2">
        <v>0.3539197079580943</v>
      </c>
      <c r="R63" s="2">
        <v>-0.4345501884350787</v>
      </c>
      <c r="S63" s="2">
        <v>-1.545037020676716E-2</v>
      </c>
      <c r="T63" s="2">
        <v>-0.5012359916849658</v>
      </c>
      <c r="U63" s="2">
        <v>0.61543862173490227</v>
      </c>
      <c r="V63" s="2">
        <v>2.0499999999999998</v>
      </c>
      <c r="W63" s="2">
        <v>1.97</v>
      </c>
      <c r="X63" s="2">
        <v>52.827999999999996</v>
      </c>
      <c r="Y63" s="2">
        <v>21</v>
      </c>
      <c r="Z63" s="2">
        <v>48</v>
      </c>
      <c r="AA63" s="2">
        <v>19.8</v>
      </c>
      <c r="AB63" s="2">
        <v>93</v>
      </c>
      <c r="AC63" s="2">
        <v>78</v>
      </c>
      <c r="AD63" s="2">
        <v>15500</v>
      </c>
      <c r="AE63" s="2">
        <v>13000</v>
      </c>
      <c r="AF63" s="2">
        <v>79</v>
      </c>
      <c r="AG63" s="2">
        <v>25</v>
      </c>
      <c r="AH63" s="2">
        <v>6.7</v>
      </c>
      <c r="AI63" s="2">
        <v>13166.666666666666</v>
      </c>
      <c r="AJ63" s="2">
        <v>4166.666666666667</v>
      </c>
      <c r="AK63" s="2">
        <v>1116.6666666666667</v>
      </c>
      <c r="AL63" s="2">
        <v>58</v>
      </c>
      <c r="AM63" s="2">
        <v>5</v>
      </c>
      <c r="AN63" s="2">
        <v>1.2</v>
      </c>
      <c r="AO63" s="2">
        <v>9666.6666666666661</v>
      </c>
      <c r="AP63" s="2">
        <v>833.33333333333337</v>
      </c>
      <c r="AQ63" s="2">
        <v>200</v>
      </c>
      <c r="AR63" s="2">
        <v>4166.666666666667</v>
      </c>
      <c r="AS63" s="2">
        <v>833.33333333333337</v>
      </c>
    </row>
    <row r="64" spans="1:45" x14ac:dyDescent="0.25">
      <c r="A64" t="s">
        <v>65</v>
      </c>
      <c r="B64" s="3">
        <v>-0.17366755175650908</v>
      </c>
      <c r="C64" s="3">
        <v>-0.3338125697712731</v>
      </c>
      <c r="D64" s="3">
        <v>0.15838935694723075</v>
      </c>
      <c r="E64" s="3">
        <v>-0.13279638951134559</v>
      </c>
      <c r="F64" s="3">
        <v>-0.49325305448549306</v>
      </c>
      <c r="G64" s="3">
        <v>-0.89931305233033387</v>
      </c>
      <c r="H64" s="3">
        <v>0.44998235041316559</v>
      </c>
      <c r="I64" s="2">
        <f t="shared" si="0"/>
        <v>-0.22466535095858414</v>
      </c>
      <c r="J64" s="2">
        <v>0.16720886723154135</v>
      </c>
      <c r="K64" s="2">
        <f t="shared" si="1"/>
        <v>0.30859560882235348</v>
      </c>
      <c r="L64" s="2">
        <v>-0.14819026098601115</v>
      </c>
      <c r="M64" s="2">
        <v>-0.41859195854212583</v>
      </c>
      <c r="N64" s="2">
        <v>-8.3723001866349789E-2</v>
      </c>
      <c r="O64" s="2">
        <v>-0.22575513841707739</v>
      </c>
      <c r="P64" s="2">
        <v>0.3539197079580953</v>
      </c>
      <c r="Q64" s="2">
        <v>0.3539197079580943</v>
      </c>
      <c r="R64" s="2">
        <v>-0.4345501884350787</v>
      </c>
      <c r="S64" s="2">
        <v>-3.6320502237937841E-2</v>
      </c>
      <c r="T64" s="2">
        <v>-0.5012359916849658</v>
      </c>
      <c r="U64" s="2">
        <v>0.61543862173490227</v>
      </c>
      <c r="V64" s="2">
        <v>2.0499999999999998</v>
      </c>
      <c r="W64" s="2">
        <v>1.86</v>
      </c>
      <c r="X64" s="2">
        <v>52.827999999999996</v>
      </c>
      <c r="Y64" s="2">
        <v>21</v>
      </c>
      <c r="Z64" s="2">
        <v>48</v>
      </c>
      <c r="AA64" s="2">
        <v>19.8</v>
      </c>
      <c r="AB64" s="2">
        <v>93</v>
      </c>
      <c r="AC64" s="2">
        <v>78</v>
      </c>
      <c r="AD64" s="2">
        <v>15500</v>
      </c>
      <c r="AE64" s="2">
        <v>13000</v>
      </c>
      <c r="AF64" s="2">
        <v>79</v>
      </c>
      <c r="AG64" s="2">
        <v>25</v>
      </c>
      <c r="AH64" s="2">
        <v>6.7</v>
      </c>
      <c r="AI64" s="2">
        <v>13166.666666666666</v>
      </c>
      <c r="AJ64" s="2">
        <v>4166.666666666667</v>
      </c>
      <c r="AK64" s="2">
        <v>1116.6666666666667</v>
      </c>
      <c r="AL64" s="2">
        <v>58</v>
      </c>
      <c r="AM64" s="2">
        <v>5</v>
      </c>
      <c r="AN64" s="2">
        <v>1.2</v>
      </c>
      <c r="AO64" s="2">
        <v>9666.6666666666661</v>
      </c>
      <c r="AP64" s="2">
        <v>833.33333333333337</v>
      </c>
      <c r="AQ64" s="2">
        <v>200</v>
      </c>
      <c r="AR64" s="2">
        <v>4166.666666666667</v>
      </c>
      <c r="AS64" s="2">
        <v>833.33333333333337</v>
      </c>
    </row>
    <row r="65" spans="1:45" x14ac:dyDescent="0.25">
      <c r="A65" t="s">
        <v>66</v>
      </c>
      <c r="B65" s="3">
        <v>2.021708203538287</v>
      </c>
      <c r="C65" s="3">
        <v>-0.1566338711497399</v>
      </c>
      <c r="D65" s="3">
        <v>1.9487465905499033</v>
      </c>
      <c r="E65" s="3">
        <v>0.17760329565941363</v>
      </c>
      <c r="F65" s="3">
        <v>0.98540009948368479</v>
      </c>
      <c r="G65" s="3">
        <v>1.235042559285719</v>
      </c>
      <c r="H65" s="3">
        <v>1.2967877386282858</v>
      </c>
      <c r="I65" s="2">
        <f t="shared" si="0"/>
        <v>1.2659151489570024</v>
      </c>
      <c r="J65" s="2">
        <v>1.1504228635943339</v>
      </c>
      <c r="K65" s="2">
        <f t="shared" si="1"/>
        <v>1.2236053011113097</v>
      </c>
      <c r="L65" s="2">
        <v>0.76166807945076476</v>
      </c>
      <c r="M65" s="2">
        <v>0.21299254408577792</v>
      </c>
      <c r="N65" s="2">
        <v>-0.38458672618705209</v>
      </c>
      <c r="O65" s="2">
        <v>-0.317992296395749</v>
      </c>
      <c r="P65" s="2">
        <v>0.93462291810293052</v>
      </c>
      <c r="Q65" s="2">
        <v>0.93462291810292908</v>
      </c>
      <c r="R65" s="2">
        <v>1.3270934044181881</v>
      </c>
      <c r="S65" s="2">
        <v>-0.29556667356264327</v>
      </c>
      <c r="T65" s="2">
        <v>1.1187808875178262</v>
      </c>
      <c r="U65" s="2">
        <v>0.8763310809486109</v>
      </c>
      <c r="V65" s="2">
        <v>2.4</v>
      </c>
      <c r="W65" s="2">
        <v>2.13</v>
      </c>
      <c r="X65" s="2">
        <v>56.2</v>
      </c>
      <c r="Y65" s="2">
        <v>21.2</v>
      </c>
      <c r="Z65" s="2">
        <v>55</v>
      </c>
      <c r="AA65" s="2">
        <v>22.2</v>
      </c>
      <c r="AB65" s="2">
        <v>87</v>
      </c>
      <c r="AC65" s="2">
        <v>87</v>
      </c>
      <c r="AD65" s="2">
        <v>14500</v>
      </c>
      <c r="AE65" s="2">
        <v>14500</v>
      </c>
      <c r="AF65" s="2">
        <v>86</v>
      </c>
      <c r="AG65" s="2">
        <v>67</v>
      </c>
      <c r="AH65" s="2">
        <v>18</v>
      </c>
      <c r="AI65" s="2">
        <v>14333.333333333334</v>
      </c>
      <c r="AJ65" s="2">
        <v>11166.666666666666</v>
      </c>
      <c r="AK65" s="2">
        <v>3000</v>
      </c>
      <c r="AL65" s="2">
        <v>91</v>
      </c>
      <c r="AM65" s="2">
        <v>76</v>
      </c>
      <c r="AN65" s="2">
        <v>20.6</v>
      </c>
      <c r="AO65" s="2">
        <v>15166.666666666666</v>
      </c>
      <c r="AP65" s="2">
        <v>12666.666666666666</v>
      </c>
      <c r="AQ65" s="2">
        <v>3433.3333333333335</v>
      </c>
      <c r="AR65" s="2">
        <v>11166.666666666666</v>
      </c>
      <c r="AS65" s="2">
        <v>12666.666666666666</v>
      </c>
    </row>
    <row r="66" spans="1:45" x14ac:dyDescent="0.25">
      <c r="A66" t="s">
        <v>66</v>
      </c>
      <c r="B66" s="3">
        <v>-0.23074588467502397</v>
      </c>
      <c r="C66" s="3">
        <v>0.21084428909790823</v>
      </c>
      <c r="D66" s="3">
        <v>-2.9397697950098521E-2</v>
      </c>
      <c r="E66" s="3">
        <v>0.84601908929123015</v>
      </c>
      <c r="F66" s="3">
        <v>1.2115469989049441</v>
      </c>
      <c r="G66" s="3">
        <v>1.235042559285719</v>
      </c>
      <c r="H66" s="3">
        <v>1.2967877386282858</v>
      </c>
      <c r="I66" s="2">
        <f t="shared" si="0"/>
        <v>1.2659151489570024</v>
      </c>
      <c r="J66" s="2">
        <v>1.1504228635943339</v>
      </c>
      <c r="K66" s="2">
        <f t="shared" si="1"/>
        <v>1.2236053011113097</v>
      </c>
      <c r="L66" s="2">
        <v>0.76166807945076476</v>
      </c>
      <c r="M66" s="2">
        <v>0.21299254408577792</v>
      </c>
      <c r="N66" s="2">
        <v>-0.38328569386566008</v>
      </c>
      <c r="O66" s="2">
        <v>-0.34037114783975497</v>
      </c>
      <c r="P66" s="2">
        <v>0.93462291810293052</v>
      </c>
      <c r="Q66" s="2">
        <v>0.93462291810292908</v>
      </c>
      <c r="R66" s="2">
        <v>1.3270934044181881</v>
      </c>
      <c r="S66" s="2">
        <v>-0.29409013820637725</v>
      </c>
      <c r="T66" s="2">
        <v>1.1187808875178262</v>
      </c>
      <c r="U66" s="2">
        <v>0.8763310809486109</v>
      </c>
      <c r="V66" s="2">
        <v>2.2999999999999998</v>
      </c>
      <c r="W66" s="2">
        <v>2.09</v>
      </c>
      <c r="X66" s="2">
        <v>56.2</v>
      </c>
      <c r="Y66" s="2">
        <v>21.2</v>
      </c>
      <c r="Z66" s="2">
        <v>55</v>
      </c>
      <c r="AA66" s="2">
        <v>22.2</v>
      </c>
      <c r="AB66" s="2">
        <v>87</v>
      </c>
      <c r="AC66" s="2">
        <v>87</v>
      </c>
      <c r="AD66" s="2">
        <v>14500</v>
      </c>
      <c r="AE66" s="2">
        <v>14500</v>
      </c>
      <c r="AF66" s="2">
        <v>86</v>
      </c>
      <c r="AG66" s="2">
        <v>67</v>
      </c>
      <c r="AH66" s="2">
        <v>18</v>
      </c>
      <c r="AI66" s="2">
        <v>14333.333333333334</v>
      </c>
      <c r="AJ66" s="2">
        <v>11166.666666666666</v>
      </c>
      <c r="AK66" s="2">
        <v>3000</v>
      </c>
      <c r="AL66" s="2">
        <v>91</v>
      </c>
      <c r="AM66" s="2">
        <v>76</v>
      </c>
      <c r="AN66" s="2">
        <v>20.6</v>
      </c>
      <c r="AO66" s="2">
        <v>15166.666666666666</v>
      </c>
      <c r="AP66" s="2">
        <v>12666.666666666666</v>
      </c>
      <c r="AQ66" s="2">
        <v>3433.3333333333335</v>
      </c>
      <c r="AR66" s="2">
        <v>11166.666666666666</v>
      </c>
      <c r="AS66" s="2">
        <v>12666.666666666666</v>
      </c>
    </row>
    <row r="67" spans="1:45" x14ac:dyDescent="0.25">
      <c r="A67" t="s">
        <v>66</v>
      </c>
      <c r="B67" s="3">
        <v>-0.56432989538664335</v>
      </c>
      <c r="C67" s="3">
        <v>-0.43556890376130397</v>
      </c>
      <c r="D67" s="3">
        <v>-0.58512542225350328</v>
      </c>
      <c r="E67" s="3">
        <v>-0.5923183399120272</v>
      </c>
      <c r="F67" s="3">
        <v>1.1571042126451256</v>
      </c>
      <c r="G67" s="3">
        <v>1.235042559285719</v>
      </c>
      <c r="H67" s="3">
        <v>1.2967877386282858</v>
      </c>
      <c r="I67" s="2">
        <f t="shared" ref="I67:I118" si="2">(G67+H67)/2</f>
        <v>1.2659151489570024</v>
      </c>
      <c r="J67" s="2">
        <v>1.1504228635943339</v>
      </c>
      <c r="K67" s="2">
        <f t="shared" ref="K67:K118" si="3">(H67+J67)/2</f>
        <v>1.2236053011113097</v>
      </c>
      <c r="L67" s="2">
        <v>0.76166807945076476</v>
      </c>
      <c r="M67" s="2">
        <v>0.21299254408577792</v>
      </c>
      <c r="N67" s="2">
        <v>-0.35271143431307489</v>
      </c>
      <c r="O67" s="2">
        <v>-0.31073429052201718</v>
      </c>
      <c r="P67" s="2">
        <v>0.93462291810293052</v>
      </c>
      <c r="Q67" s="2">
        <v>0.93462291810292908</v>
      </c>
      <c r="R67" s="2">
        <v>1.3270934044181881</v>
      </c>
      <c r="S67" s="2">
        <v>-0.25939155733411973</v>
      </c>
      <c r="T67" s="2">
        <v>1.1187808875178262</v>
      </c>
      <c r="U67" s="2">
        <v>0.8763310809486109</v>
      </c>
      <c r="V67" s="2">
        <v>2.36</v>
      </c>
      <c r="W67" s="2">
        <v>2.1800000000000002</v>
      </c>
      <c r="X67" s="2">
        <v>56.2</v>
      </c>
      <c r="Y67" s="2">
        <v>21.2</v>
      </c>
      <c r="Z67" s="2">
        <v>55</v>
      </c>
      <c r="AA67" s="2">
        <v>22.2</v>
      </c>
      <c r="AB67" s="2">
        <v>87</v>
      </c>
      <c r="AC67" s="2">
        <v>87</v>
      </c>
      <c r="AD67" s="2">
        <v>14500</v>
      </c>
      <c r="AE67" s="2">
        <v>14500</v>
      </c>
      <c r="AF67" s="2">
        <v>86</v>
      </c>
      <c r="AG67" s="2">
        <v>67</v>
      </c>
      <c r="AH67" s="2">
        <v>18</v>
      </c>
      <c r="AI67" s="2">
        <v>14333.333333333334</v>
      </c>
      <c r="AJ67" s="2">
        <v>11166.666666666666</v>
      </c>
      <c r="AK67" s="2">
        <v>3000</v>
      </c>
      <c r="AL67" s="2">
        <v>91</v>
      </c>
      <c r="AM67" s="2">
        <v>76</v>
      </c>
      <c r="AN67" s="2">
        <v>20.6</v>
      </c>
      <c r="AO67" s="2">
        <v>15166.666666666666</v>
      </c>
      <c r="AP67" s="2">
        <v>12666.666666666666</v>
      </c>
      <c r="AQ67" s="2">
        <v>3433.3333333333335</v>
      </c>
      <c r="AR67" s="2">
        <v>11166.666666666666</v>
      </c>
      <c r="AS67" s="2">
        <v>12666.666666666666</v>
      </c>
    </row>
    <row r="68" spans="1:45" x14ac:dyDescent="0.25">
      <c r="A68" t="s">
        <v>66</v>
      </c>
      <c r="B68" s="3">
        <v>-0.636206469895927</v>
      </c>
      <c r="C68" s="3">
        <v>-0.52814795220258071</v>
      </c>
      <c r="D68" s="3">
        <v>-0.80633912028422516</v>
      </c>
      <c r="E68" s="3">
        <v>-0.7952499979245562</v>
      </c>
      <c r="F68" s="3">
        <v>1.0293290458282236</v>
      </c>
      <c r="G68" s="3">
        <v>-0.85826775210694828</v>
      </c>
      <c r="H68" s="3">
        <v>-1.2338950307502343</v>
      </c>
      <c r="I68" s="2">
        <f t="shared" si="2"/>
        <v>-1.0460813914285914</v>
      </c>
      <c r="J68" s="2">
        <v>-1.194164358501556</v>
      </c>
      <c r="K68" s="2">
        <f t="shared" si="3"/>
        <v>-1.2140296946258951</v>
      </c>
      <c r="L68" s="2">
        <v>-1.2181836693396595</v>
      </c>
      <c r="M68" s="2">
        <v>-1.297318223067905</v>
      </c>
      <c r="N68" s="2">
        <v>-0.25513401020906507</v>
      </c>
      <c r="O68" s="2">
        <v>-0.2363397303162682</v>
      </c>
      <c r="P68" s="2">
        <v>1.1356355677684502</v>
      </c>
      <c r="Q68" s="2">
        <v>1.1356355677684491</v>
      </c>
      <c r="R68" s="2">
        <v>0.99260411463592257</v>
      </c>
      <c r="S68" s="2">
        <v>-0.12804777828293543</v>
      </c>
      <c r="T68" s="2">
        <v>-0.60923711696515204</v>
      </c>
      <c r="U68" s="2">
        <v>0.96329523401984707</v>
      </c>
      <c r="V68" s="2">
        <v>2.2999999999999998</v>
      </c>
      <c r="W68" s="2">
        <v>1.94</v>
      </c>
      <c r="X68" s="2">
        <v>57.6</v>
      </c>
      <c r="Y68" s="2">
        <v>21.4</v>
      </c>
      <c r="Z68" s="2">
        <v>51.8</v>
      </c>
      <c r="AA68" s="2">
        <v>21.2</v>
      </c>
      <c r="AB68" s="2">
        <v>93</v>
      </c>
      <c r="AC68" s="2">
        <v>106</v>
      </c>
      <c r="AD68" s="2">
        <v>15500</v>
      </c>
      <c r="AE68" s="2">
        <v>17666.666666666668</v>
      </c>
      <c r="AF68" s="2">
        <v>97</v>
      </c>
      <c r="AG68" s="2">
        <v>83</v>
      </c>
      <c r="AH68" s="2">
        <v>21</v>
      </c>
      <c r="AI68" s="2">
        <v>16166.666666666666</v>
      </c>
      <c r="AJ68" s="2">
        <v>13833.333333333334</v>
      </c>
      <c r="AK68" s="2">
        <v>3500</v>
      </c>
      <c r="AL68" s="2">
        <v>107</v>
      </c>
      <c r="AM68" s="2">
        <v>84</v>
      </c>
      <c r="AN68" s="2">
        <v>21.9</v>
      </c>
      <c r="AO68" s="2">
        <v>17833.333333333332</v>
      </c>
      <c r="AP68" s="2">
        <v>14000</v>
      </c>
      <c r="AQ68" s="2">
        <v>3650</v>
      </c>
      <c r="AR68" s="2">
        <v>13833.333333333334</v>
      </c>
      <c r="AS68" s="2">
        <v>14000</v>
      </c>
    </row>
    <row r="69" spans="1:45" x14ac:dyDescent="0.25">
      <c r="A69" t="s">
        <v>66</v>
      </c>
      <c r="B69" s="3">
        <v>-0.56432989538664335</v>
      </c>
      <c r="C69" s="3">
        <v>-0.44701613933772338</v>
      </c>
      <c r="D69" s="3">
        <v>-0.58512542225350328</v>
      </c>
      <c r="E69" s="3">
        <v>-0.58124792291710636</v>
      </c>
      <c r="F69" s="3">
        <v>1.0053531331188352</v>
      </c>
      <c r="G69" s="3">
        <v>-0.85826775210694828</v>
      </c>
      <c r="H69" s="3">
        <v>-1.2338950307502343</v>
      </c>
      <c r="I69" s="2">
        <f t="shared" si="2"/>
        <v>-1.0460813914285914</v>
      </c>
      <c r="J69" s="2">
        <v>-1.194164358501556</v>
      </c>
      <c r="K69" s="2">
        <f t="shared" si="3"/>
        <v>-1.2140296946258951</v>
      </c>
      <c r="L69" s="2">
        <v>-1.2181836693396595</v>
      </c>
      <c r="M69" s="2">
        <v>-1.297318223067905</v>
      </c>
      <c r="N69" s="2">
        <v>-0.32604027172464445</v>
      </c>
      <c r="O69" s="2">
        <v>-0.25569441264621956</v>
      </c>
      <c r="P69" s="2">
        <v>1.1356355677684502</v>
      </c>
      <c r="Q69" s="2">
        <v>1.1356355677684491</v>
      </c>
      <c r="R69" s="2">
        <v>0.99260411463592257</v>
      </c>
      <c r="S69" s="2">
        <v>-0.21176667085975223</v>
      </c>
      <c r="T69" s="2">
        <v>-0.60923711696515204</v>
      </c>
      <c r="U69" s="2">
        <v>0.96329523401984707</v>
      </c>
      <c r="V69" s="2">
        <v>2.2999999999999998</v>
      </c>
      <c r="W69" s="2">
        <v>2.08</v>
      </c>
      <c r="X69" s="2">
        <v>57.6</v>
      </c>
      <c r="Y69" s="2">
        <v>21.4</v>
      </c>
      <c r="Z69" s="2">
        <v>51.8</v>
      </c>
      <c r="AA69" s="2">
        <v>21.2</v>
      </c>
      <c r="AB69" s="2">
        <v>93</v>
      </c>
      <c r="AC69" s="2">
        <v>106</v>
      </c>
      <c r="AD69" s="2">
        <v>15500</v>
      </c>
      <c r="AE69" s="2">
        <v>17666.666666666668</v>
      </c>
      <c r="AF69" s="2">
        <v>97</v>
      </c>
      <c r="AG69" s="2">
        <v>83</v>
      </c>
      <c r="AH69" s="2">
        <v>21</v>
      </c>
      <c r="AI69" s="2">
        <v>16166.666666666666</v>
      </c>
      <c r="AJ69" s="2">
        <v>13833.333333333334</v>
      </c>
      <c r="AK69" s="2">
        <v>3500</v>
      </c>
      <c r="AL69" s="2">
        <v>107</v>
      </c>
      <c r="AM69" s="2">
        <v>84</v>
      </c>
      <c r="AN69" s="2">
        <v>21.9</v>
      </c>
      <c r="AO69" s="2">
        <v>17833.333333333332</v>
      </c>
      <c r="AP69" s="2">
        <v>14000</v>
      </c>
      <c r="AQ69" s="2">
        <v>3650</v>
      </c>
      <c r="AR69" s="2">
        <v>13833.333333333334</v>
      </c>
      <c r="AS69" s="2">
        <v>14000</v>
      </c>
    </row>
    <row r="70" spans="1:45" x14ac:dyDescent="0.25">
      <c r="A70" t="s">
        <v>66</v>
      </c>
      <c r="B70" s="3">
        <v>-0.35639549433771245</v>
      </c>
      <c r="C70" s="3">
        <v>-0.43285280081658878</v>
      </c>
      <c r="D70" s="3">
        <v>-0.23882897183281329</v>
      </c>
      <c r="E70" s="3">
        <v>-0.39399410663891982</v>
      </c>
      <c r="F70" s="3">
        <v>0.60693012422933468</v>
      </c>
      <c r="G70" s="3">
        <v>-0.85826775210694828</v>
      </c>
      <c r="H70" s="3">
        <v>-1.2338950307502343</v>
      </c>
      <c r="I70" s="2">
        <f t="shared" si="2"/>
        <v>-1.0460813914285914</v>
      </c>
      <c r="J70" s="2">
        <v>-1.194164358501556</v>
      </c>
      <c r="K70" s="2">
        <f t="shared" si="3"/>
        <v>-1.2140296946258951</v>
      </c>
      <c r="L70" s="2">
        <v>-1.2181836693396595</v>
      </c>
      <c r="M70" s="2">
        <v>-1.297318223067905</v>
      </c>
      <c r="N70" s="2">
        <v>-0.23464275114722266</v>
      </c>
      <c r="O70" s="2">
        <v>-0.30710528758515121</v>
      </c>
      <c r="P70" s="2">
        <v>1.1356355677684502</v>
      </c>
      <c r="Q70" s="2">
        <v>1.1356355677684491</v>
      </c>
      <c r="R70" s="2">
        <v>0.99260411463592257</v>
      </c>
      <c r="S70" s="2">
        <v>-0.10385378639146985</v>
      </c>
      <c r="T70" s="2">
        <v>-0.60923711696515204</v>
      </c>
      <c r="U70" s="2">
        <v>0.96329523401984707</v>
      </c>
      <c r="V70" s="2">
        <v>2.1</v>
      </c>
      <c r="W70" s="2">
        <v>2.0499999999999998</v>
      </c>
      <c r="X70" s="2">
        <v>57.6</v>
      </c>
      <c r="Y70" s="2">
        <v>21.4</v>
      </c>
      <c r="Z70" s="2">
        <v>51.8</v>
      </c>
      <c r="AA70" s="2">
        <v>21.2</v>
      </c>
      <c r="AB70" s="2">
        <v>93</v>
      </c>
      <c r="AC70" s="2">
        <v>106</v>
      </c>
      <c r="AD70" s="2">
        <v>15500</v>
      </c>
      <c r="AE70" s="2">
        <v>17666.666666666668</v>
      </c>
      <c r="AF70" s="2">
        <v>97</v>
      </c>
      <c r="AG70" s="2">
        <v>83</v>
      </c>
      <c r="AH70" s="2">
        <v>21</v>
      </c>
      <c r="AI70" s="2">
        <v>16166.666666666666</v>
      </c>
      <c r="AJ70" s="2">
        <v>13833.333333333334</v>
      </c>
      <c r="AK70" s="2">
        <v>3500</v>
      </c>
      <c r="AL70" s="2">
        <v>107</v>
      </c>
      <c r="AM70" s="2">
        <v>84</v>
      </c>
      <c r="AN70" s="2">
        <v>21.9</v>
      </c>
      <c r="AO70" s="2">
        <v>17833.333333333332</v>
      </c>
      <c r="AP70" s="2">
        <v>14000</v>
      </c>
      <c r="AQ70" s="2">
        <v>3650</v>
      </c>
      <c r="AR70" s="2">
        <v>13833.333333333334</v>
      </c>
      <c r="AS70" s="2">
        <v>14000</v>
      </c>
    </row>
    <row r="71" spans="1:45" x14ac:dyDescent="0.25">
      <c r="A71" t="s">
        <v>66</v>
      </c>
      <c r="B71" s="3">
        <v>0.46889517571958272</v>
      </c>
      <c r="C71" s="3">
        <v>0.78709158237929522</v>
      </c>
      <c r="D71" s="3">
        <v>0.98586932761946022</v>
      </c>
      <c r="E71" s="3">
        <v>1.4440281253826881</v>
      </c>
      <c r="F71" s="3">
        <v>0.47367295399470899</v>
      </c>
      <c r="G71" s="3">
        <v>0.63988570604662731</v>
      </c>
      <c r="H71" s="3">
        <v>0.56678309361525114</v>
      </c>
      <c r="I71" s="2">
        <f t="shared" si="2"/>
        <v>0.60333439983093928</v>
      </c>
      <c r="J71" s="2">
        <v>0.39410440485372422</v>
      </c>
      <c r="K71" s="2">
        <f t="shared" si="3"/>
        <v>0.48044374923448768</v>
      </c>
      <c r="L71" s="2">
        <v>0.21575307518869921</v>
      </c>
      <c r="M71" s="2">
        <v>0.46013430598365329</v>
      </c>
      <c r="N71" s="2">
        <v>-0.36214391864312911</v>
      </c>
      <c r="O71" s="2">
        <v>-0.36970558824608674</v>
      </c>
      <c r="P71" s="2">
        <v>0.44325866336499259</v>
      </c>
      <c r="Q71" s="2">
        <v>0.44325866336499126</v>
      </c>
      <c r="R71" s="2">
        <v>0.97030482865043899</v>
      </c>
      <c r="S71" s="2">
        <v>-0.30847973669519141</v>
      </c>
      <c r="T71" s="2">
        <v>0.74077694903717495</v>
      </c>
      <c r="U71" s="2">
        <v>0.2675820094499583</v>
      </c>
      <c r="V71" s="2">
        <v>2.25</v>
      </c>
      <c r="W71" s="2">
        <v>2.0699999999999998</v>
      </c>
      <c r="X71" s="2">
        <v>53.6</v>
      </c>
      <c r="Y71" s="2">
        <v>19.399999999999999</v>
      </c>
      <c r="Z71" s="2">
        <v>53.8</v>
      </c>
      <c r="AA71" s="2">
        <v>21</v>
      </c>
      <c r="AB71" s="2">
        <v>89</v>
      </c>
      <c r="AC71" s="2">
        <v>101</v>
      </c>
      <c r="AD71" s="2">
        <v>14833.333333333334</v>
      </c>
      <c r="AE71" s="2">
        <v>16833.333333333332</v>
      </c>
      <c r="AF71" s="2">
        <v>94</v>
      </c>
      <c r="AG71" s="2">
        <v>79</v>
      </c>
      <c r="AH71" s="2">
        <v>18.100000000000001</v>
      </c>
      <c r="AI71" s="2">
        <v>15666.666666666666</v>
      </c>
      <c r="AJ71" s="2">
        <v>13166.666666666666</v>
      </c>
      <c r="AK71" s="2">
        <v>3016.6666666666665</v>
      </c>
      <c r="AL71" s="2">
        <v>96</v>
      </c>
      <c r="AM71" s="2">
        <v>44</v>
      </c>
      <c r="AN71" s="2">
        <v>11.2</v>
      </c>
      <c r="AO71" s="2">
        <v>16000</v>
      </c>
      <c r="AP71" s="2">
        <v>7333.333333333333</v>
      </c>
      <c r="AQ71" s="2">
        <v>1866.6666666666667</v>
      </c>
      <c r="AR71" s="2">
        <v>13166.666666666666</v>
      </c>
      <c r="AS71" s="2">
        <v>7333.333333333333</v>
      </c>
    </row>
    <row r="72" spans="1:45" x14ac:dyDescent="0.25">
      <c r="A72" t="s">
        <v>66</v>
      </c>
      <c r="B72" s="3">
        <v>1.5420013200290652</v>
      </c>
      <c r="C72" s="3">
        <v>1.6096216469777247</v>
      </c>
      <c r="D72" s="3">
        <v>1.7328981864152395</v>
      </c>
      <c r="E72" s="3">
        <v>2.1638778342953091</v>
      </c>
      <c r="F72" s="3">
        <v>0.62272524359996573</v>
      </c>
      <c r="G72" s="3">
        <v>0.63988570604662731</v>
      </c>
      <c r="H72" s="3">
        <v>0.56678309361525114</v>
      </c>
      <c r="I72" s="2">
        <f t="shared" si="2"/>
        <v>0.60333439983093928</v>
      </c>
      <c r="J72" s="2">
        <v>0.39410440485372422</v>
      </c>
      <c r="K72" s="2">
        <f t="shared" si="3"/>
        <v>0.48044374923448768</v>
      </c>
      <c r="L72" s="2">
        <v>0.21575307518869921</v>
      </c>
      <c r="M72" s="2">
        <v>0.46013430598365329</v>
      </c>
      <c r="N72" s="2">
        <v>-0.35368720855411417</v>
      </c>
      <c r="O72" s="2">
        <v>-0.26385966925416704</v>
      </c>
      <c r="P72" s="2">
        <v>0.44325866336499259</v>
      </c>
      <c r="Q72" s="2">
        <v>0.44325866336499126</v>
      </c>
      <c r="R72" s="2">
        <v>0.97030482865043899</v>
      </c>
      <c r="S72" s="2">
        <v>-0.29982909345320946</v>
      </c>
      <c r="T72" s="2">
        <v>0.74077694903717495</v>
      </c>
      <c r="U72" s="2">
        <v>0.2675820094499583</v>
      </c>
      <c r="V72" s="2">
        <v>2.35</v>
      </c>
      <c r="W72" s="2">
        <v>2.16</v>
      </c>
      <c r="X72" s="2">
        <v>53.6</v>
      </c>
      <c r="Y72" s="2">
        <v>19.399999999999999</v>
      </c>
      <c r="Z72" s="2">
        <v>53.8</v>
      </c>
      <c r="AA72" s="2">
        <v>21</v>
      </c>
      <c r="AB72" s="2">
        <v>89</v>
      </c>
      <c r="AC72" s="2">
        <v>101</v>
      </c>
      <c r="AD72" s="2">
        <v>14833.333333333334</v>
      </c>
      <c r="AE72" s="2">
        <v>16833.333333333332</v>
      </c>
      <c r="AF72" s="2">
        <v>94</v>
      </c>
      <c r="AG72" s="2">
        <v>79</v>
      </c>
      <c r="AH72" s="2">
        <v>18.100000000000001</v>
      </c>
      <c r="AI72" s="2">
        <v>15666.666666666666</v>
      </c>
      <c r="AJ72" s="2">
        <v>13166.666666666666</v>
      </c>
      <c r="AK72" s="2">
        <v>3016.6666666666665</v>
      </c>
      <c r="AL72" s="2">
        <v>96</v>
      </c>
      <c r="AM72" s="2">
        <v>44</v>
      </c>
      <c r="AN72" s="2">
        <v>11.2</v>
      </c>
      <c r="AO72" s="2">
        <v>16000</v>
      </c>
      <c r="AP72" s="2">
        <v>7333.333333333333</v>
      </c>
      <c r="AQ72" s="2">
        <v>1866.6666666666667</v>
      </c>
      <c r="AR72" s="2">
        <v>13166.666666666666</v>
      </c>
      <c r="AS72" s="2">
        <v>7333.333333333333</v>
      </c>
    </row>
    <row r="73" spans="1:45" x14ac:dyDescent="0.25">
      <c r="A73" t="s">
        <v>66</v>
      </c>
      <c r="B73" s="3">
        <v>1.4126909057057602</v>
      </c>
      <c r="C73" s="3">
        <v>0.53065382945736828</v>
      </c>
      <c r="D73" s="3">
        <v>1.7375366123125244</v>
      </c>
      <c r="E73" s="3">
        <v>1.1472483264317781</v>
      </c>
      <c r="F73" s="3">
        <v>0.82263068006507034</v>
      </c>
      <c r="G73" s="3">
        <v>0.63988570604662731</v>
      </c>
      <c r="H73" s="3">
        <v>0.56678309361525114</v>
      </c>
      <c r="I73" s="2">
        <f t="shared" si="2"/>
        <v>0.60333439983093928</v>
      </c>
      <c r="J73" s="2">
        <v>0.39410440485372422</v>
      </c>
      <c r="K73" s="2">
        <f t="shared" si="3"/>
        <v>0.48044374923448768</v>
      </c>
      <c r="L73" s="2">
        <v>0.21575307518869921</v>
      </c>
      <c r="M73" s="2">
        <v>0.46013430598365329</v>
      </c>
      <c r="N73" s="2">
        <v>-0.34100214342059382</v>
      </c>
      <c r="O73" s="2">
        <v>-0.29289169274909443</v>
      </c>
      <c r="P73" s="2">
        <v>0.44325866336499259</v>
      </c>
      <c r="Q73" s="2">
        <v>0.44325866336499126</v>
      </c>
      <c r="R73" s="2">
        <v>0.97030482865043899</v>
      </c>
      <c r="S73" s="2">
        <v>-0.28685312859023787</v>
      </c>
      <c r="T73" s="2">
        <v>0.74077694903717495</v>
      </c>
      <c r="U73" s="2">
        <v>0.2675820094499583</v>
      </c>
      <c r="V73" s="2">
        <v>2.2999999999999998</v>
      </c>
      <c r="W73" s="2">
        <v>2.13</v>
      </c>
      <c r="X73" s="2">
        <v>53.6</v>
      </c>
      <c r="Y73" s="2">
        <v>19.399999999999999</v>
      </c>
      <c r="Z73" s="2">
        <v>53.8</v>
      </c>
      <c r="AA73" s="2">
        <v>21</v>
      </c>
      <c r="AB73" s="2">
        <v>89</v>
      </c>
      <c r="AC73" s="2">
        <v>101</v>
      </c>
      <c r="AD73" s="2">
        <v>14833.333333333334</v>
      </c>
      <c r="AE73" s="2">
        <v>16833.333333333332</v>
      </c>
      <c r="AF73" s="2">
        <v>94</v>
      </c>
      <c r="AG73" s="2">
        <v>79</v>
      </c>
      <c r="AH73" s="2">
        <v>18.100000000000001</v>
      </c>
      <c r="AI73" s="2">
        <v>15666.666666666666</v>
      </c>
      <c r="AJ73" s="2">
        <v>13166.666666666666</v>
      </c>
      <c r="AK73" s="2">
        <v>3016.6666666666665</v>
      </c>
      <c r="AL73" s="2">
        <v>96</v>
      </c>
      <c r="AM73" s="2">
        <v>44</v>
      </c>
      <c r="AN73" s="2">
        <v>11.2</v>
      </c>
      <c r="AO73" s="2">
        <v>16000</v>
      </c>
      <c r="AP73" s="2">
        <v>7333.333333333333</v>
      </c>
      <c r="AQ73" s="2">
        <v>1866.6666666666667</v>
      </c>
      <c r="AR73" s="2">
        <v>13166.666666666666</v>
      </c>
      <c r="AS73" s="2">
        <v>7333.333333333333</v>
      </c>
    </row>
    <row r="74" spans="1:45" x14ac:dyDescent="0.25">
      <c r="A74" t="s">
        <v>67</v>
      </c>
      <c r="B74" s="3">
        <v>-0.58456752007712731</v>
      </c>
      <c r="C74" s="3">
        <v>-0.59623727788477476</v>
      </c>
      <c r="D74" s="3">
        <v>-0.7571981569486308</v>
      </c>
      <c r="E74" s="3">
        <v>-0.89499475450042376</v>
      </c>
      <c r="F74" s="3">
        <v>-2.9893543208130722</v>
      </c>
      <c r="G74" s="3">
        <v>0.41413655481800637</v>
      </c>
      <c r="H74" s="3">
        <v>0.31371481667739914</v>
      </c>
      <c r="I74" s="2">
        <f t="shared" si="2"/>
        <v>0.36392568574770279</v>
      </c>
      <c r="J74" s="2">
        <v>0.94033440283305336</v>
      </c>
      <c r="K74" s="2">
        <f t="shared" si="3"/>
        <v>0.62702460975522623</v>
      </c>
      <c r="L74" s="2">
        <v>1.7006418867815174</v>
      </c>
      <c r="M74" s="2">
        <v>1.9567149752541209</v>
      </c>
      <c r="N74" s="2">
        <v>-0.47262684874154443</v>
      </c>
      <c r="O74" s="2">
        <v>-0.444384125888731</v>
      </c>
      <c r="P74" s="2">
        <v>-1.0084993619970948</v>
      </c>
      <c r="Q74" s="2">
        <v>-1.0084993619970952</v>
      </c>
      <c r="R74" s="2">
        <v>-1.4603173437673613</v>
      </c>
      <c r="S74" s="2">
        <v>-0.4983538619894255</v>
      </c>
      <c r="T74" s="2">
        <v>-1.3112444312863623</v>
      </c>
      <c r="U74" s="2">
        <v>-8.0274602834986539E-2</v>
      </c>
      <c r="V74" s="2">
        <v>2</v>
      </c>
      <c r="W74" s="2">
        <v>1.9</v>
      </c>
      <c r="X74" s="2">
        <v>55.2</v>
      </c>
      <c r="Y74" s="2">
        <v>18.399999999999999</v>
      </c>
      <c r="Z74" s="2">
        <v>50.5</v>
      </c>
      <c r="AA74" s="2">
        <v>16</v>
      </c>
      <c r="AB74" s="2">
        <v>82</v>
      </c>
      <c r="AC74" s="2">
        <v>100</v>
      </c>
      <c r="AD74" s="2">
        <v>13666.666666666666</v>
      </c>
      <c r="AE74" s="2">
        <v>16666.666666666668</v>
      </c>
      <c r="AF74" s="2">
        <v>75</v>
      </c>
      <c r="AG74" s="2">
        <v>60</v>
      </c>
      <c r="AH74" s="2">
        <v>13.28</v>
      </c>
      <c r="AI74" s="2">
        <v>12500</v>
      </c>
      <c r="AJ74" s="2">
        <v>10000</v>
      </c>
      <c r="AK74" s="2">
        <v>2213.3333333333335</v>
      </c>
      <c r="AL74" s="2">
        <v>88</v>
      </c>
      <c r="AM74" s="2">
        <v>42</v>
      </c>
      <c r="AN74" s="2">
        <v>8.2200000000000006</v>
      </c>
      <c r="AO74" s="2">
        <v>14666.666666666666</v>
      </c>
      <c r="AP74" s="2">
        <v>7000</v>
      </c>
      <c r="AQ74" s="2">
        <v>1370</v>
      </c>
      <c r="AR74" s="2">
        <v>10000</v>
      </c>
      <c r="AS74" s="2">
        <v>7000</v>
      </c>
    </row>
    <row r="75" spans="1:45" x14ac:dyDescent="0.25">
      <c r="A75" t="s">
        <v>67</v>
      </c>
      <c r="B75" s="3">
        <v>7.9470430071679143E-2</v>
      </c>
      <c r="C75" s="3">
        <v>-0.55089982538502436</v>
      </c>
      <c r="D75" s="3">
        <v>0.53861383025229248</v>
      </c>
      <c r="E75" s="3">
        <v>-0.76189883074701181</v>
      </c>
      <c r="F75" s="3">
        <v>-1.5182020680602413</v>
      </c>
      <c r="G75" s="3">
        <v>0.41413655481800637</v>
      </c>
      <c r="H75" s="3">
        <v>0.31371481667739914</v>
      </c>
      <c r="I75" s="2">
        <f t="shared" si="2"/>
        <v>0.36392568574770279</v>
      </c>
      <c r="J75" s="2">
        <v>0.94033440283305336</v>
      </c>
      <c r="K75" s="2">
        <f t="shared" si="3"/>
        <v>0.62702460975522623</v>
      </c>
      <c r="L75" s="2">
        <v>1.7006418867815174</v>
      </c>
      <c r="M75" s="2">
        <v>1.9567149752541209</v>
      </c>
      <c r="N75" s="2">
        <v>-0.48714804165323217</v>
      </c>
      <c r="O75" s="2">
        <v>-0.444384125888731</v>
      </c>
      <c r="P75" s="2">
        <v>-1.0084993619970948</v>
      </c>
      <c r="Q75" s="2">
        <v>-1.0084993619970952</v>
      </c>
      <c r="R75" s="2">
        <v>-1.4603173437673613</v>
      </c>
      <c r="S75" s="2">
        <v>-0.50840446468028666</v>
      </c>
      <c r="T75" s="2">
        <v>-1.3112444312863623</v>
      </c>
      <c r="U75" s="2">
        <v>-8.0274602834986539E-2</v>
      </c>
      <c r="V75" s="2">
        <v>2.1</v>
      </c>
      <c r="W75" s="2">
        <v>2</v>
      </c>
      <c r="X75" s="2">
        <v>55.2</v>
      </c>
      <c r="Y75" s="2">
        <v>18.399999999999999</v>
      </c>
      <c r="Z75" s="2">
        <v>50.5</v>
      </c>
      <c r="AA75" s="2">
        <v>16</v>
      </c>
      <c r="AB75" s="2">
        <v>82</v>
      </c>
      <c r="AC75" s="2">
        <v>100</v>
      </c>
      <c r="AD75" s="2">
        <v>13666.666666666666</v>
      </c>
      <c r="AE75" s="2">
        <v>16666.666666666668</v>
      </c>
      <c r="AF75" s="2">
        <v>75</v>
      </c>
      <c r="AG75" s="2">
        <v>60</v>
      </c>
      <c r="AH75" s="2">
        <v>13.28</v>
      </c>
      <c r="AI75" s="2">
        <v>12500</v>
      </c>
      <c r="AJ75" s="2">
        <v>10000</v>
      </c>
      <c r="AK75" s="2">
        <v>2213.3333333333335</v>
      </c>
      <c r="AL75" s="2">
        <v>88</v>
      </c>
      <c r="AM75" s="2">
        <v>42</v>
      </c>
      <c r="AN75" s="2">
        <v>8.2200000000000006</v>
      </c>
      <c r="AO75" s="2">
        <v>14666.666666666666</v>
      </c>
      <c r="AP75" s="2">
        <v>7000</v>
      </c>
      <c r="AQ75" s="2">
        <v>1370</v>
      </c>
      <c r="AR75" s="2">
        <v>10000</v>
      </c>
      <c r="AS75" s="2">
        <v>7000</v>
      </c>
    </row>
    <row r="76" spans="1:45" x14ac:dyDescent="0.25">
      <c r="A76" t="s">
        <v>67</v>
      </c>
      <c r="B76" s="3">
        <v>-0.58023593982363086</v>
      </c>
      <c r="C76" s="3">
        <v>0.33362090327498295</v>
      </c>
      <c r="D76" s="3">
        <v>-0.77093525471134539</v>
      </c>
      <c r="E76" s="3">
        <v>0.98641595356908829</v>
      </c>
      <c r="F76" s="3">
        <v>-1.5338155385182144</v>
      </c>
      <c r="G76" s="3">
        <v>0.41413655481800637</v>
      </c>
      <c r="H76" s="3">
        <v>0.31371481667739914</v>
      </c>
      <c r="I76" s="2">
        <f t="shared" si="2"/>
        <v>0.36392568574770279</v>
      </c>
      <c r="J76" s="2">
        <v>0.94033440283305336</v>
      </c>
      <c r="K76" s="2">
        <f t="shared" si="3"/>
        <v>0.62702460975522623</v>
      </c>
      <c r="L76" s="2">
        <v>1.7006418867815174</v>
      </c>
      <c r="M76" s="2">
        <v>1.9567149752541209</v>
      </c>
      <c r="N76" s="2">
        <v>-0.51190007502542634</v>
      </c>
      <c r="O76" s="2">
        <v>-0.444384125888731</v>
      </c>
      <c r="P76" s="2">
        <v>-1.0084993619970948</v>
      </c>
      <c r="Q76" s="2">
        <v>-1.0084993619970952</v>
      </c>
      <c r="R76" s="2">
        <v>-1.4603173437673613</v>
      </c>
      <c r="S76" s="2">
        <v>-0.52553617381243645</v>
      </c>
      <c r="T76" s="2">
        <v>-1.3112444312863623</v>
      </c>
      <c r="U76" s="2">
        <v>-8.0274602834986539E-2</v>
      </c>
      <c r="V76" s="2">
        <v>1.95</v>
      </c>
      <c r="W76" s="2">
        <v>1.8</v>
      </c>
      <c r="X76" s="2">
        <v>55.2</v>
      </c>
      <c r="Y76" s="2">
        <v>18.399999999999999</v>
      </c>
      <c r="Z76" s="2">
        <v>50.5</v>
      </c>
      <c r="AA76" s="2">
        <v>16</v>
      </c>
      <c r="AB76" s="2">
        <v>82</v>
      </c>
      <c r="AC76" s="2">
        <v>100</v>
      </c>
      <c r="AD76" s="2">
        <v>13666.666666666666</v>
      </c>
      <c r="AE76" s="2">
        <v>16666.666666666668</v>
      </c>
      <c r="AF76" s="2">
        <v>75</v>
      </c>
      <c r="AG76" s="2">
        <v>60</v>
      </c>
      <c r="AH76" s="2">
        <v>13.28</v>
      </c>
      <c r="AI76" s="2">
        <v>12500</v>
      </c>
      <c r="AJ76" s="2">
        <v>10000</v>
      </c>
      <c r="AK76" s="2">
        <v>2213.3333333333335</v>
      </c>
      <c r="AL76" s="2">
        <v>88</v>
      </c>
      <c r="AM76" s="2">
        <v>42</v>
      </c>
      <c r="AN76" s="2">
        <v>8.2200000000000006</v>
      </c>
      <c r="AO76" s="2">
        <v>14666.666666666666</v>
      </c>
      <c r="AP76" s="2">
        <v>7000</v>
      </c>
      <c r="AQ76" s="2">
        <v>1370</v>
      </c>
      <c r="AR76" s="2">
        <v>10000</v>
      </c>
      <c r="AS76" s="2">
        <v>7000</v>
      </c>
    </row>
    <row r="77" spans="1:45" x14ac:dyDescent="0.25">
      <c r="A77" t="s">
        <v>67</v>
      </c>
      <c r="B77" s="3">
        <v>-0.62209039569217828</v>
      </c>
      <c r="C77" s="3">
        <v>-0.62098959248668473</v>
      </c>
      <c r="D77" s="3">
        <v>-0.82216530034268576</v>
      </c>
      <c r="E77" s="3">
        <v>-0.88960978811403135</v>
      </c>
      <c r="F77" s="3">
        <v>-1.5494290089761873</v>
      </c>
      <c r="G77" s="3">
        <v>0.24995535392446386</v>
      </c>
      <c r="H77" s="3">
        <v>-0.45522340940299733</v>
      </c>
      <c r="I77" s="2">
        <f t="shared" si="2"/>
        <v>-0.10263402773926673</v>
      </c>
      <c r="J77" s="2">
        <v>-1.0933218973361414</v>
      </c>
      <c r="K77" s="2">
        <f t="shared" si="3"/>
        <v>-0.77427265336956941</v>
      </c>
      <c r="L77" s="2">
        <v>-1.1890682024456827</v>
      </c>
      <c r="M77" s="2">
        <v>-0.94720072704591485</v>
      </c>
      <c r="N77" s="2">
        <v>-0.32114440450370374</v>
      </c>
      <c r="O77" s="2">
        <v>-0.3124529257818866</v>
      </c>
      <c r="P77" s="2">
        <v>-0.82982145118329964</v>
      </c>
      <c r="Q77" s="2">
        <v>-0.8298214511833002</v>
      </c>
      <c r="R77" s="2">
        <v>-1.3042223418689705</v>
      </c>
      <c r="S77" s="2">
        <v>-0.37788099604522557</v>
      </c>
      <c r="T77" s="2">
        <v>-1.3112444312863623</v>
      </c>
      <c r="U77" s="2">
        <v>-0.77598782740487526</v>
      </c>
      <c r="V77" s="2">
        <v>1.9</v>
      </c>
      <c r="W77" s="2">
        <v>1.75</v>
      </c>
      <c r="X77" s="2">
        <v>53</v>
      </c>
      <c r="Y77" s="2">
        <v>15.6</v>
      </c>
      <c r="Z77" s="2">
        <v>49.4</v>
      </c>
      <c r="AA77" s="2">
        <v>21.4</v>
      </c>
      <c r="AB77" s="2">
        <v>79</v>
      </c>
      <c r="AC77" s="2">
        <v>101</v>
      </c>
      <c r="AD77" s="2">
        <v>13166.666666666666</v>
      </c>
      <c r="AE77" s="2">
        <v>16833.333333333332</v>
      </c>
      <c r="AF77" s="2">
        <v>78</v>
      </c>
      <c r="AG77" s="2">
        <v>51</v>
      </c>
      <c r="AH77" s="2">
        <v>9.81</v>
      </c>
      <c r="AI77" s="2">
        <v>13000</v>
      </c>
      <c r="AJ77" s="2">
        <v>8500</v>
      </c>
      <c r="AK77" s="2">
        <v>1635</v>
      </c>
      <c r="AL77" s="2">
        <v>90</v>
      </c>
      <c r="AM77" s="2">
        <v>38</v>
      </c>
      <c r="AN77" s="2">
        <v>6.71</v>
      </c>
      <c r="AO77" s="2">
        <v>15000</v>
      </c>
      <c r="AP77" s="2">
        <v>6333.333333333333</v>
      </c>
      <c r="AQ77" s="2">
        <v>1118.3333333333333</v>
      </c>
      <c r="AR77" s="2">
        <v>8500</v>
      </c>
      <c r="AS77" s="2">
        <v>6333.333333333333</v>
      </c>
    </row>
    <row r="78" spans="1:45" x14ac:dyDescent="0.25">
      <c r="A78" t="s">
        <v>67</v>
      </c>
      <c r="B78" s="3">
        <v>-0.66010227060168158</v>
      </c>
      <c r="C78" s="3">
        <v>-0.58057461104004349</v>
      </c>
      <c r="D78" s="3">
        <v>-0.81681990246849134</v>
      </c>
      <c r="E78" s="3">
        <v>-0.91508899148588785</v>
      </c>
      <c r="F78" s="3">
        <v>-1.333209535232855</v>
      </c>
      <c r="G78" s="3">
        <v>0.24995535392446386</v>
      </c>
      <c r="H78" s="3">
        <v>-0.45522340940299733</v>
      </c>
      <c r="I78" s="2">
        <f t="shared" si="2"/>
        <v>-0.10263402773926673</v>
      </c>
      <c r="J78" s="2">
        <v>-1.0933218973361414</v>
      </c>
      <c r="K78" s="2">
        <f t="shared" si="3"/>
        <v>-0.77427265336956941</v>
      </c>
      <c r="L78" s="2">
        <v>-1.1890682024456827</v>
      </c>
      <c r="M78" s="2">
        <v>-0.94720072704591485</v>
      </c>
      <c r="N78" s="2">
        <v>-0.22048613545677348</v>
      </c>
      <c r="O78" s="2">
        <v>-0.25917904450359008</v>
      </c>
      <c r="P78" s="2">
        <v>-0.82982145118329964</v>
      </c>
      <c r="Q78" s="2">
        <v>-0.8298214511833002</v>
      </c>
      <c r="R78" s="2">
        <v>-1.3042223418689705</v>
      </c>
      <c r="S78" s="2">
        <v>-0.30411387201738044</v>
      </c>
      <c r="T78" s="2">
        <v>-1.3112444312863623</v>
      </c>
      <c r="U78" s="2">
        <v>-0.77598782740487526</v>
      </c>
      <c r="V78" s="2">
        <v>2.1</v>
      </c>
      <c r="W78" s="2">
        <v>1.8</v>
      </c>
      <c r="X78" s="2">
        <v>53</v>
      </c>
      <c r="Y78" s="2">
        <v>15.6</v>
      </c>
      <c r="Z78" s="2">
        <v>49.4</v>
      </c>
      <c r="AA78" s="2">
        <v>21.4</v>
      </c>
      <c r="AB78" s="2">
        <v>79</v>
      </c>
      <c r="AC78" s="2">
        <v>101</v>
      </c>
      <c r="AD78" s="2">
        <v>13166.666666666666</v>
      </c>
      <c r="AE78" s="2">
        <v>16833.333333333332</v>
      </c>
      <c r="AF78" s="2">
        <v>78</v>
      </c>
      <c r="AG78" s="2">
        <v>51</v>
      </c>
      <c r="AH78" s="2">
        <v>9.81</v>
      </c>
      <c r="AI78" s="2">
        <v>13000</v>
      </c>
      <c r="AJ78" s="2">
        <v>8500</v>
      </c>
      <c r="AK78" s="2">
        <v>1635</v>
      </c>
      <c r="AL78" s="2">
        <v>90</v>
      </c>
      <c r="AM78" s="2">
        <v>38</v>
      </c>
      <c r="AN78" s="2">
        <v>6.71</v>
      </c>
      <c r="AO78" s="2">
        <v>15000</v>
      </c>
      <c r="AP78" s="2">
        <v>6333.333333333333</v>
      </c>
      <c r="AQ78" s="2">
        <v>1118.3333333333333</v>
      </c>
      <c r="AR78" s="2">
        <v>8500</v>
      </c>
      <c r="AS78" s="2">
        <v>6333.333333333333</v>
      </c>
    </row>
    <row r="79" spans="1:45" x14ac:dyDescent="0.25">
      <c r="A79" t="s">
        <v>67</v>
      </c>
      <c r="B79" s="3">
        <v>-0.61479861302990924</v>
      </c>
      <c r="C79" s="3">
        <v>-0.56943555935830115</v>
      </c>
      <c r="D79" s="3">
        <v>-0.8238852008993951</v>
      </c>
      <c r="E79" s="3">
        <v>-0.8538821108428567</v>
      </c>
      <c r="F79" s="3">
        <v>-1.2824958892939906</v>
      </c>
      <c r="G79" s="3">
        <v>0.24995535392446386</v>
      </c>
      <c r="H79" s="3">
        <v>-0.45522340940299733</v>
      </c>
      <c r="I79" s="2">
        <f t="shared" si="2"/>
        <v>-0.10263402773926673</v>
      </c>
      <c r="J79" s="2">
        <v>-1.0933218973361414</v>
      </c>
      <c r="K79" s="2">
        <f t="shared" si="3"/>
        <v>-0.77427265336956941</v>
      </c>
      <c r="L79" s="2">
        <v>-1.1890682024456827</v>
      </c>
      <c r="M79" s="2">
        <v>-0.94720072704591485</v>
      </c>
      <c r="N79" s="2">
        <v>-0.43236354112277192</v>
      </c>
      <c r="O79" s="2">
        <v>-0.28675611245941462</v>
      </c>
      <c r="P79" s="2">
        <v>-0.82982145118329964</v>
      </c>
      <c r="Q79" s="2">
        <v>-0.8298214511833002</v>
      </c>
      <c r="R79" s="2">
        <v>-1.3042223418689705</v>
      </c>
      <c r="S79" s="2">
        <v>-0.45938762161041824</v>
      </c>
      <c r="T79" s="2">
        <v>-1.3112444312863623</v>
      </c>
      <c r="U79" s="2">
        <v>-0.77598782740487526</v>
      </c>
      <c r="V79" s="2">
        <v>2</v>
      </c>
      <c r="W79" s="2">
        <v>2</v>
      </c>
      <c r="X79" s="2">
        <v>53</v>
      </c>
      <c r="Y79" s="2">
        <v>15.6</v>
      </c>
      <c r="Z79" s="2">
        <v>49.4</v>
      </c>
      <c r="AA79" s="2">
        <v>21.4</v>
      </c>
      <c r="AB79" s="2">
        <v>79</v>
      </c>
      <c r="AC79" s="2">
        <v>101</v>
      </c>
      <c r="AD79" s="2">
        <v>13166.666666666666</v>
      </c>
      <c r="AE79" s="2">
        <v>16833.333333333332</v>
      </c>
      <c r="AF79" s="2">
        <v>78</v>
      </c>
      <c r="AG79" s="2">
        <v>51</v>
      </c>
      <c r="AH79" s="2">
        <v>9.81</v>
      </c>
      <c r="AI79" s="2">
        <v>13000</v>
      </c>
      <c r="AJ79" s="2">
        <v>8500</v>
      </c>
      <c r="AK79" s="2">
        <v>1635</v>
      </c>
      <c r="AL79" s="2">
        <v>90</v>
      </c>
      <c r="AM79" s="2">
        <v>38</v>
      </c>
      <c r="AN79" s="2">
        <v>6.71</v>
      </c>
      <c r="AO79" s="2">
        <v>15000</v>
      </c>
      <c r="AP79" s="2">
        <v>6333.333333333333</v>
      </c>
      <c r="AQ79" s="2">
        <v>1118.3333333333333</v>
      </c>
      <c r="AR79" s="2">
        <v>8500</v>
      </c>
      <c r="AS79" s="2">
        <v>6333.333333333333</v>
      </c>
    </row>
    <row r="80" spans="1:45" x14ac:dyDescent="0.25">
      <c r="A80" t="s">
        <v>67</v>
      </c>
      <c r="B80" s="3">
        <v>-0.65569156347711999</v>
      </c>
      <c r="C80" s="3">
        <v>-0.39800439495666162</v>
      </c>
      <c r="D80" s="3">
        <v>-0.85556408904546855</v>
      </c>
      <c r="E80" s="3">
        <v>-0.42720225984819654</v>
      </c>
      <c r="F80" s="3">
        <v>-1.4039112814255743</v>
      </c>
      <c r="G80" s="3">
        <v>1.2966105096207976</v>
      </c>
      <c r="H80" s="3">
        <v>0.17744728294163267</v>
      </c>
      <c r="I80" s="2">
        <f t="shared" si="2"/>
        <v>0.73702889628121515</v>
      </c>
      <c r="J80" s="2">
        <v>-0.6899520526744829</v>
      </c>
      <c r="K80" s="2">
        <f t="shared" si="3"/>
        <v>-0.2562523848664251</v>
      </c>
      <c r="L80" s="2">
        <v>-0.85424033316494918</v>
      </c>
      <c r="M80" s="2">
        <v>-0.8785502376298383</v>
      </c>
      <c r="N80" s="2">
        <v>-0.25579903640110552</v>
      </c>
      <c r="O80" s="2">
        <v>-0.23254210386444046</v>
      </c>
      <c r="P80" s="2">
        <v>-0.49480036840743291</v>
      </c>
      <c r="Q80" s="2">
        <v>-0.49480036840743341</v>
      </c>
      <c r="R80" s="2">
        <v>-1.6164123456657522</v>
      </c>
      <c r="S80" s="2">
        <v>-0.29570421832868665</v>
      </c>
      <c r="T80" s="2">
        <v>-1.3112444312863623</v>
      </c>
      <c r="U80" s="2">
        <v>6.6895502362496802E-3</v>
      </c>
      <c r="V80" s="2">
        <v>2.2000000000000002</v>
      </c>
      <c r="W80" s="2">
        <v>1.9</v>
      </c>
      <c r="X80" s="2">
        <v>52</v>
      </c>
      <c r="Y80" s="2">
        <v>16.8</v>
      </c>
      <c r="Z80" s="2">
        <v>47.8</v>
      </c>
      <c r="AA80" s="2">
        <v>15.2</v>
      </c>
      <c r="AB80" s="2">
        <v>70</v>
      </c>
      <c r="AC80" s="2">
        <v>75</v>
      </c>
      <c r="AD80" s="2">
        <v>11666.666666666666</v>
      </c>
      <c r="AE80" s="2">
        <v>12500</v>
      </c>
      <c r="AF80" s="2">
        <v>63</v>
      </c>
      <c r="AG80" s="2">
        <v>48</v>
      </c>
      <c r="AH80" s="2">
        <v>11.61</v>
      </c>
      <c r="AI80" s="2">
        <v>10500</v>
      </c>
      <c r="AJ80" s="2">
        <v>8000</v>
      </c>
      <c r="AK80" s="2">
        <v>1935</v>
      </c>
      <c r="AL80" s="2">
        <v>70</v>
      </c>
      <c r="AM80" s="2">
        <v>46</v>
      </c>
      <c r="AN80" s="2">
        <v>9.99</v>
      </c>
      <c r="AO80" s="2">
        <v>11666.666666666666</v>
      </c>
      <c r="AP80" s="2">
        <v>7666.666666666667</v>
      </c>
      <c r="AQ80" s="2">
        <v>1665</v>
      </c>
      <c r="AR80" s="2">
        <v>8000</v>
      </c>
      <c r="AS80" s="2">
        <v>7666.666666666667</v>
      </c>
    </row>
    <row r="81" spans="1:45" x14ac:dyDescent="0.25">
      <c r="A81" t="s">
        <v>67</v>
      </c>
      <c r="B81" s="3">
        <v>-0.46019591120580677</v>
      </c>
      <c r="C81" s="3">
        <v>-0.56260985644614625</v>
      </c>
      <c r="D81" s="3">
        <v>-0.54973172575846518</v>
      </c>
      <c r="E81" s="3">
        <v>-0.83692695301647857</v>
      </c>
      <c r="F81" s="3">
        <v>-1.6318379446547377</v>
      </c>
      <c r="G81" s="3">
        <v>1.2966105096207976</v>
      </c>
      <c r="H81" s="3">
        <v>0.17744728294163267</v>
      </c>
      <c r="I81" s="2">
        <f t="shared" si="2"/>
        <v>0.73702889628121515</v>
      </c>
      <c r="J81" s="2">
        <v>-0.6899520526744829</v>
      </c>
      <c r="K81" s="2">
        <f t="shared" si="3"/>
        <v>-0.2562523848664251</v>
      </c>
      <c r="L81" s="2">
        <v>-0.85424033316494918</v>
      </c>
      <c r="M81" s="2">
        <v>-0.8785502376298383</v>
      </c>
      <c r="N81" s="2">
        <v>-0.34028597697820256</v>
      </c>
      <c r="O81" s="2">
        <v>-0.18835611998067683</v>
      </c>
      <c r="P81" s="2">
        <v>-0.49480036840743291</v>
      </c>
      <c r="Q81" s="2">
        <v>-0.49480036840743341</v>
      </c>
      <c r="R81" s="2">
        <v>-1.6164123456657522</v>
      </c>
      <c r="S81" s="2">
        <v>-0.36406981524192517</v>
      </c>
      <c r="T81" s="2">
        <v>-1.3112444312863623</v>
      </c>
      <c r="U81" s="2">
        <v>6.6895502362496802E-3</v>
      </c>
      <c r="V81" s="2">
        <v>2.2000000000000002</v>
      </c>
      <c r="W81" s="2">
        <v>2.1</v>
      </c>
      <c r="X81" s="2">
        <v>52</v>
      </c>
      <c r="Y81" s="2">
        <v>16.8</v>
      </c>
      <c r="Z81" s="2">
        <v>47.8</v>
      </c>
      <c r="AA81" s="2">
        <v>15.2</v>
      </c>
      <c r="AB81" s="2">
        <v>70</v>
      </c>
      <c r="AC81" s="2">
        <v>75</v>
      </c>
      <c r="AD81" s="2">
        <v>11666.666666666666</v>
      </c>
      <c r="AE81" s="2">
        <v>12500</v>
      </c>
      <c r="AF81" s="2">
        <v>63</v>
      </c>
      <c r="AG81" s="2">
        <v>48</v>
      </c>
      <c r="AH81" s="2">
        <v>11.61</v>
      </c>
      <c r="AI81" s="2">
        <v>10500</v>
      </c>
      <c r="AJ81" s="2">
        <v>8000</v>
      </c>
      <c r="AK81" s="2">
        <v>1935</v>
      </c>
      <c r="AL81" s="2">
        <v>70</v>
      </c>
      <c r="AM81" s="2">
        <v>46</v>
      </c>
      <c r="AN81" s="2">
        <v>9.99</v>
      </c>
      <c r="AO81" s="2">
        <v>11666.666666666666</v>
      </c>
      <c r="AP81" s="2">
        <v>7666.666666666667</v>
      </c>
      <c r="AQ81" s="2">
        <v>1665</v>
      </c>
      <c r="AR81" s="2">
        <v>8000</v>
      </c>
      <c r="AS81" s="2">
        <v>7666.666666666667</v>
      </c>
    </row>
    <row r="82" spans="1:45" x14ac:dyDescent="0.25">
      <c r="A82" t="s">
        <v>67</v>
      </c>
      <c r="B82" s="3">
        <v>-0.56635240225140338</v>
      </c>
      <c r="C82" s="3">
        <v>-0.47869372391232407</v>
      </c>
      <c r="D82" s="3">
        <v>-0.7070380751597678</v>
      </c>
      <c r="E82" s="3">
        <v>-0.71908757353132113</v>
      </c>
      <c r="F82" s="3">
        <v>-1.6551570759701373</v>
      </c>
      <c r="G82" s="3">
        <v>1.2966105096207976</v>
      </c>
      <c r="H82" s="3">
        <v>0.17744728294163267</v>
      </c>
      <c r="I82" s="2">
        <f t="shared" si="2"/>
        <v>0.73702889628121515</v>
      </c>
      <c r="J82" s="2">
        <v>-0.6899520526744829</v>
      </c>
      <c r="K82" s="2">
        <f t="shared" si="3"/>
        <v>-0.2562523848664251</v>
      </c>
      <c r="L82" s="2">
        <v>-0.85424033316494918</v>
      </c>
      <c r="M82" s="2">
        <v>-0.8785502376298383</v>
      </c>
      <c r="N82" s="2">
        <v>-0.13071876109361491</v>
      </c>
      <c r="O82" s="2">
        <v>-0.14761726959138907</v>
      </c>
      <c r="P82" s="2">
        <v>-0.49480036840743291</v>
      </c>
      <c r="Q82" s="2">
        <v>-0.49480036840743341</v>
      </c>
      <c r="R82" s="2">
        <v>-1.6164123456657522</v>
      </c>
      <c r="S82" s="2">
        <v>-0.19449108852354199</v>
      </c>
      <c r="T82" s="2">
        <v>-1.3112444312863623</v>
      </c>
      <c r="U82" s="2">
        <v>6.6895502362496802E-3</v>
      </c>
      <c r="V82" s="2">
        <v>2.15</v>
      </c>
      <c r="W82" s="2">
        <v>1.95</v>
      </c>
      <c r="X82" s="2">
        <v>52</v>
      </c>
      <c r="Y82" s="2">
        <v>16.8</v>
      </c>
      <c r="Z82" s="2">
        <v>47.8</v>
      </c>
      <c r="AA82" s="2">
        <v>15.2</v>
      </c>
      <c r="AB82" s="2">
        <v>70</v>
      </c>
      <c r="AC82" s="2">
        <v>75</v>
      </c>
      <c r="AD82" s="2">
        <v>11666.666666666666</v>
      </c>
      <c r="AE82" s="2">
        <v>12500</v>
      </c>
      <c r="AF82" s="2">
        <v>63</v>
      </c>
      <c r="AG82" s="2">
        <v>48</v>
      </c>
      <c r="AH82" s="2">
        <v>11.61</v>
      </c>
      <c r="AI82" s="2">
        <v>10500</v>
      </c>
      <c r="AJ82" s="2">
        <v>8000</v>
      </c>
      <c r="AK82" s="2">
        <v>1935</v>
      </c>
      <c r="AL82" s="2">
        <v>70</v>
      </c>
      <c r="AM82" s="2">
        <v>46</v>
      </c>
      <c r="AN82" s="2">
        <v>9.99</v>
      </c>
      <c r="AO82" s="2">
        <v>11666.666666666666</v>
      </c>
      <c r="AP82" s="2">
        <v>7666.666666666667</v>
      </c>
      <c r="AQ82" s="2">
        <v>1665</v>
      </c>
      <c r="AR82" s="2">
        <v>8000</v>
      </c>
      <c r="AS82" s="2">
        <v>7666.666666666667</v>
      </c>
    </row>
    <row r="83" spans="1:45" x14ac:dyDescent="0.25">
      <c r="A83" t="s">
        <v>68</v>
      </c>
      <c r="B83" s="3">
        <v>1.6426664907087982</v>
      </c>
      <c r="C83" s="3">
        <v>-0.49763568092603638</v>
      </c>
      <c r="D83" s="3">
        <v>1.8882109544257448</v>
      </c>
      <c r="E83" s="3">
        <v>-0.52935915093578279</v>
      </c>
      <c r="F83" s="3">
        <v>-1.7811764450672374</v>
      </c>
      <c r="G83" s="3">
        <v>0.14734210336599976</v>
      </c>
      <c r="H83" s="3">
        <v>-0.31895587566723088</v>
      </c>
      <c r="I83" s="2">
        <f t="shared" si="2"/>
        <v>-8.5806886150615561E-2</v>
      </c>
      <c r="J83" s="2">
        <v>-1.3286209733887753</v>
      </c>
      <c r="K83" s="2">
        <f t="shared" si="3"/>
        <v>-0.82378842452800305</v>
      </c>
      <c r="L83" s="2">
        <v>-1.5530115386203931</v>
      </c>
      <c r="M83" s="2">
        <v>-1.1462871463525366</v>
      </c>
      <c r="N83" s="2">
        <v>-0.37757904059230946</v>
      </c>
      <c r="O83" s="2">
        <v>-0.40270514818276826</v>
      </c>
      <c r="P83" s="2">
        <v>-1.1201730562557171</v>
      </c>
      <c r="Q83" s="2">
        <v>-1.1201730562557175</v>
      </c>
      <c r="R83" s="2">
        <v>-1.6610109176367212</v>
      </c>
      <c r="S83" s="2">
        <v>-0.44089881238230932</v>
      </c>
      <c r="T83" s="2">
        <v>-1.3112444312863623</v>
      </c>
      <c r="U83" s="2">
        <v>0.35454616252119453</v>
      </c>
      <c r="V83" s="2">
        <v>2.1</v>
      </c>
      <c r="W83" s="2">
        <v>2.0499999999999998</v>
      </c>
      <c r="X83" s="2">
        <v>52.8</v>
      </c>
      <c r="Y83" s="2">
        <v>16.600000000000001</v>
      </c>
      <c r="Z83" s="2">
        <v>53.8</v>
      </c>
      <c r="AA83" s="2">
        <v>15.2</v>
      </c>
      <c r="AB83" s="2">
        <v>65</v>
      </c>
      <c r="AC83" s="2">
        <v>73</v>
      </c>
      <c r="AD83" s="2">
        <v>10833.333333333334</v>
      </c>
      <c r="AE83" s="2">
        <v>12166.666666666666</v>
      </c>
      <c r="AF83" s="2">
        <v>62</v>
      </c>
      <c r="AG83" s="2">
        <v>46</v>
      </c>
      <c r="AH83" s="2">
        <v>11.64</v>
      </c>
      <c r="AI83" s="2">
        <v>10333.333333333334</v>
      </c>
      <c r="AJ83" s="2">
        <v>7666.666666666667</v>
      </c>
      <c r="AK83" s="2">
        <v>1940</v>
      </c>
      <c r="AL83" s="2">
        <v>71</v>
      </c>
      <c r="AM83" s="2">
        <v>41</v>
      </c>
      <c r="AN83" s="2">
        <v>9.24</v>
      </c>
      <c r="AO83" s="2">
        <v>11833.333333333334</v>
      </c>
      <c r="AP83" s="2">
        <v>6833.333333333333</v>
      </c>
      <c r="AQ83" s="2">
        <v>1540</v>
      </c>
      <c r="AR83" s="2">
        <v>7666.666666666667</v>
      </c>
      <c r="AS83" s="2">
        <v>6833.333333333333</v>
      </c>
    </row>
    <row r="84" spans="1:45" x14ac:dyDescent="0.25">
      <c r="A84" t="s">
        <v>68</v>
      </c>
      <c r="B84" s="3">
        <v>-0.37085554368784307</v>
      </c>
      <c r="C84" s="3">
        <v>-0.51644065859286015</v>
      </c>
      <c r="D84" s="3">
        <v>-0.18414055546764757</v>
      </c>
      <c r="E84" s="3">
        <v>-0.76582784265501236</v>
      </c>
      <c r="F84" s="3">
        <v>-1.7056802691272446</v>
      </c>
      <c r="G84" s="3">
        <v>0.14734210336599976</v>
      </c>
      <c r="H84" s="3">
        <v>-0.31895587566723088</v>
      </c>
      <c r="I84" s="2">
        <f t="shared" si="2"/>
        <v>-8.5806886150615561E-2</v>
      </c>
      <c r="J84" s="2">
        <v>-1.3286209733887753</v>
      </c>
      <c r="K84" s="2">
        <f t="shared" si="3"/>
        <v>-0.82378842452800305</v>
      </c>
      <c r="L84" s="2">
        <v>-1.5530115386203931</v>
      </c>
      <c r="M84" s="2">
        <v>-1.1462871463525366</v>
      </c>
      <c r="N84" s="2">
        <v>0.33494949341530622</v>
      </c>
      <c r="O84" s="2">
        <v>-0.2902032459538923</v>
      </c>
      <c r="P84" s="2">
        <v>-1.1201730562557171</v>
      </c>
      <c r="Q84" s="2">
        <v>-1.1201730562557175</v>
      </c>
      <c r="R84" s="2">
        <v>-1.6610109176367212</v>
      </c>
      <c r="S84" s="2">
        <v>3.4134929003649693E-2</v>
      </c>
      <c r="T84" s="2">
        <v>-1.3112444312863623</v>
      </c>
      <c r="U84" s="2">
        <v>0.35454616252119453</v>
      </c>
      <c r="V84" s="2">
        <v>2.15</v>
      </c>
      <c r="W84" s="2">
        <v>2</v>
      </c>
      <c r="X84" s="2">
        <v>52.8</v>
      </c>
      <c r="Y84" s="2">
        <v>16.600000000000001</v>
      </c>
      <c r="Z84" s="2">
        <v>53.8</v>
      </c>
      <c r="AA84" s="2">
        <v>15.2</v>
      </c>
      <c r="AB84" s="2">
        <v>65</v>
      </c>
      <c r="AC84" s="2">
        <v>73</v>
      </c>
      <c r="AD84" s="2">
        <v>10833.333333333334</v>
      </c>
      <c r="AE84" s="2">
        <v>12166.666666666666</v>
      </c>
      <c r="AF84" s="2">
        <v>62</v>
      </c>
      <c r="AG84" s="2">
        <v>46</v>
      </c>
      <c r="AH84" s="2">
        <v>11.64</v>
      </c>
      <c r="AI84" s="2">
        <v>10333.333333333334</v>
      </c>
      <c r="AJ84" s="2">
        <v>7666.666666666667</v>
      </c>
      <c r="AK84" s="2">
        <v>1940</v>
      </c>
      <c r="AL84" s="2">
        <v>71</v>
      </c>
      <c r="AM84" s="2">
        <v>41</v>
      </c>
      <c r="AN84" s="2">
        <v>9.24</v>
      </c>
      <c r="AO84" s="2">
        <v>11833.333333333334</v>
      </c>
      <c r="AP84" s="2">
        <v>6833.333333333333</v>
      </c>
      <c r="AQ84" s="2">
        <v>1540</v>
      </c>
      <c r="AR84" s="2">
        <v>7666.666666666667</v>
      </c>
      <c r="AS84" s="2">
        <v>6833.333333333333</v>
      </c>
    </row>
    <row r="85" spans="1:45" x14ac:dyDescent="0.25">
      <c r="A85" t="s">
        <v>68</v>
      </c>
      <c r="B85" s="3">
        <v>-0.61007259886999954</v>
      </c>
      <c r="C85" s="3">
        <v>-0.45165196027284699</v>
      </c>
      <c r="D85" s="3">
        <v>-0.8086757975187262</v>
      </c>
      <c r="E85" s="3">
        <v>-0.58088548318525135</v>
      </c>
      <c r="F85" s="3">
        <v>-1.6850294544371824</v>
      </c>
      <c r="G85" s="3">
        <v>0.14734210336599976</v>
      </c>
      <c r="H85" s="3">
        <v>-0.31895587566723088</v>
      </c>
      <c r="I85" s="2">
        <f t="shared" si="2"/>
        <v>-8.5806886150615561E-2</v>
      </c>
      <c r="J85" s="2">
        <v>-1.3286209733887753</v>
      </c>
      <c r="K85" s="2">
        <f t="shared" si="3"/>
        <v>-0.82378842452800305</v>
      </c>
      <c r="L85" s="2">
        <v>-1.5530115386203931</v>
      </c>
      <c r="M85" s="2">
        <v>-1.1462871463525366</v>
      </c>
      <c r="N85" s="2">
        <v>-1.0330128842880626</v>
      </c>
      <c r="O85" s="2">
        <v>-0.28581598514273787</v>
      </c>
      <c r="P85" s="2">
        <v>-1.1201730562557171</v>
      </c>
      <c r="Q85" s="2">
        <v>-1.1201730562557175</v>
      </c>
      <c r="R85" s="2">
        <v>-1.6610109176367212</v>
      </c>
      <c r="S85" s="2">
        <v>-0.87786824748768977</v>
      </c>
      <c r="T85" s="2">
        <v>-1.3112444312863623</v>
      </c>
      <c r="U85" s="2">
        <v>0.35454616252119453</v>
      </c>
      <c r="V85" s="2">
        <v>2.2999999999999998</v>
      </c>
      <c r="W85" s="2">
        <v>1.8</v>
      </c>
      <c r="X85" s="2">
        <v>52.8</v>
      </c>
      <c r="Y85" s="2">
        <v>16.600000000000001</v>
      </c>
      <c r="Z85" s="2">
        <v>53.8</v>
      </c>
      <c r="AA85" s="2">
        <v>15.2</v>
      </c>
      <c r="AB85" s="2">
        <v>65</v>
      </c>
      <c r="AC85" s="2">
        <v>73</v>
      </c>
      <c r="AD85" s="2">
        <v>10833.333333333334</v>
      </c>
      <c r="AE85" s="2">
        <v>12166.666666666666</v>
      </c>
      <c r="AF85" s="2">
        <v>62</v>
      </c>
      <c r="AG85" s="2">
        <v>46</v>
      </c>
      <c r="AH85" s="2">
        <v>11.64</v>
      </c>
      <c r="AI85" s="2">
        <v>10333.333333333334</v>
      </c>
      <c r="AJ85" s="2">
        <v>7666.666666666667</v>
      </c>
      <c r="AK85" s="2">
        <v>1940</v>
      </c>
      <c r="AL85" s="2">
        <v>71</v>
      </c>
      <c r="AM85" s="2">
        <v>41</v>
      </c>
      <c r="AN85" s="2">
        <v>9.24</v>
      </c>
      <c r="AO85" s="2">
        <v>11833.333333333334</v>
      </c>
      <c r="AP85" s="2">
        <v>6833.333333333333</v>
      </c>
      <c r="AQ85" s="2">
        <v>1540</v>
      </c>
      <c r="AR85" s="2">
        <v>7666.666666666667</v>
      </c>
      <c r="AS85" s="2">
        <v>6833.333333333333</v>
      </c>
    </row>
    <row r="86" spans="1:45" x14ac:dyDescent="0.25">
      <c r="A86" t="s">
        <v>68</v>
      </c>
      <c r="B86" s="3">
        <v>-0.37682318830078221</v>
      </c>
      <c r="C86" s="3">
        <v>-0.12031335469400661</v>
      </c>
      <c r="D86" s="3">
        <v>-0.16167706251527414</v>
      </c>
      <c r="E86" s="3">
        <v>0.20111696048544109</v>
      </c>
      <c r="F86" s="3">
        <v>-1.3679618302920447</v>
      </c>
      <c r="G86" s="3">
        <v>1.1939972590623333</v>
      </c>
      <c r="H86" s="3">
        <v>1.4135884818303712</v>
      </c>
      <c r="I86" s="2">
        <f t="shared" si="2"/>
        <v>1.3037928704463524</v>
      </c>
      <c r="J86" s="2">
        <v>1.587406861977797</v>
      </c>
      <c r="K86" s="2">
        <f t="shared" si="3"/>
        <v>1.5004976719040841</v>
      </c>
      <c r="L86" s="2">
        <v>1.329419683883313</v>
      </c>
      <c r="M86" s="2">
        <v>1.5722722345240925</v>
      </c>
      <c r="N86" s="2">
        <v>-0.35183692588522686</v>
      </c>
      <c r="O86" s="2">
        <v>-0.34253699991551467</v>
      </c>
      <c r="P86" s="2">
        <v>-0.80748671233157521</v>
      </c>
      <c r="Q86" s="2">
        <v>-0.80748671233157576</v>
      </c>
      <c r="R86" s="2">
        <v>-1.3934194858109079</v>
      </c>
      <c r="S86" s="2">
        <v>-0.39857677250859264</v>
      </c>
      <c r="T86" s="2">
        <v>-1.3112444312863623</v>
      </c>
      <c r="U86" s="2">
        <v>1.311151846304792</v>
      </c>
      <c r="V86" s="2">
        <v>1.9</v>
      </c>
      <c r="W86" s="2">
        <v>1.9</v>
      </c>
      <c r="X86" s="2">
        <v>52.4</v>
      </c>
      <c r="Y86" s="2">
        <v>17.399999999999999</v>
      </c>
      <c r="Z86" s="2">
        <v>48.8</v>
      </c>
      <c r="AA86" s="2">
        <v>16</v>
      </c>
      <c r="AB86" s="2">
        <v>82</v>
      </c>
      <c r="AC86" s="2">
        <v>87</v>
      </c>
      <c r="AD86" s="2">
        <v>13666.666666666666</v>
      </c>
      <c r="AE86" s="2">
        <v>14500</v>
      </c>
      <c r="AF86" s="2">
        <v>81</v>
      </c>
      <c r="AG86" s="2">
        <v>44</v>
      </c>
      <c r="AH86" s="2">
        <v>11.24</v>
      </c>
      <c r="AI86" s="2">
        <v>13500</v>
      </c>
      <c r="AJ86" s="2">
        <v>7333.333333333333</v>
      </c>
      <c r="AK86" s="2">
        <v>1873.3333333333333</v>
      </c>
      <c r="AL86" s="2">
        <v>81</v>
      </c>
      <c r="AM86" s="2">
        <v>50</v>
      </c>
      <c r="AN86" s="2">
        <v>11.38</v>
      </c>
      <c r="AO86" s="2">
        <v>13500</v>
      </c>
      <c r="AP86" s="2">
        <v>8333.3333333333339</v>
      </c>
      <c r="AQ86" s="2">
        <v>1896.666666666667</v>
      </c>
      <c r="AR86" s="2">
        <v>7333.333333333333</v>
      </c>
      <c r="AS86" s="2">
        <v>8333.3333333333339</v>
      </c>
    </row>
    <row r="87" spans="1:45" x14ac:dyDescent="0.25">
      <c r="A87" t="s">
        <v>68</v>
      </c>
      <c r="B87" s="3">
        <v>0.66636801994011652</v>
      </c>
      <c r="C87" s="3">
        <v>0.63206715258707802</v>
      </c>
      <c r="D87" s="3">
        <v>1.2097791576796977</v>
      </c>
      <c r="E87" s="3">
        <v>1.4497683033581348</v>
      </c>
      <c r="F87" s="3">
        <v>-1.5323055048447241</v>
      </c>
      <c r="G87" s="3">
        <v>1.1939972590623333</v>
      </c>
      <c r="H87" s="3">
        <v>1.4135884818303712</v>
      </c>
      <c r="I87" s="2">
        <f t="shared" si="2"/>
        <v>1.3037928704463524</v>
      </c>
      <c r="J87" s="2">
        <v>1.587406861977797</v>
      </c>
      <c r="K87" s="2">
        <f t="shared" si="3"/>
        <v>1.5004976719040841</v>
      </c>
      <c r="L87" s="2">
        <v>1.329419683883313</v>
      </c>
      <c r="M87" s="2">
        <v>1.5722722345240925</v>
      </c>
      <c r="N87" s="2">
        <v>-0.51520034614171928</v>
      </c>
      <c r="O87" s="2">
        <v>-0.32561470821534888</v>
      </c>
      <c r="P87" s="2">
        <v>-0.80748671233157521</v>
      </c>
      <c r="Q87" s="2">
        <v>-0.80748671233157576</v>
      </c>
      <c r="R87" s="2">
        <v>-1.3934194858109079</v>
      </c>
      <c r="S87" s="2">
        <v>-0.51912857868114692</v>
      </c>
      <c r="T87" s="2">
        <v>-1.3112444312863623</v>
      </c>
      <c r="U87" s="2">
        <v>1.311151846304792</v>
      </c>
      <c r="V87" s="2">
        <v>2</v>
      </c>
      <c r="W87" s="2">
        <v>2.1</v>
      </c>
      <c r="X87" s="2">
        <v>52.4</v>
      </c>
      <c r="Y87" s="2">
        <v>17.399999999999999</v>
      </c>
      <c r="Z87" s="2">
        <v>48.8</v>
      </c>
      <c r="AA87" s="2">
        <v>16</v>
      </c>
      <c r="AB87" s="2">
        <v>82</v>
      </c>
      <c r="AC87" s="2">
        <v>87</v>
      </c>
      <c r="AD87" s="2">
        <v>13666.666666666666</v>
      </c>
      <c r="AE87" s="2">
        <v>14500</v>
      </c>
      <c r="AF87" s="2">
        <v>81</v>
      </c>
      <c r="AG87" s="2">
        <v>44</v>
      </c>
      <c r="AH87" s="2">
        <v>11.24</v>
      </c>
      <c r="AI87" s="2">
        <v>13500</v>
      </c>
      <c r="AJ87" s="2">
        <v>7333.333333333333</v>
      </c>
      <c r="AK87" s="2">
        <v>1873.3333333333333</v>
      </c>
      <c r="AL87" s="2">
        <v>81</v>
      </c>
      <c r="AM87" s="2">
        <v>50</v>
      </c>
      <c r="AN87" s="2">
        <v>11.38</v>
      </c>
      <c r="AO87" s="2">
        <v>13500</v>
      </c>
      <c r="AP87" s="2">
        <v>8333.3333333333339</v>
      </c>
      <c r="AQ87" s="2">
        <v>1896.666666666667</v>
      </c>
      <c r="AR87" s="2">
        <v>7333.333333333333</v>
      </c>
      <c r="AS87" s="2">
        <v>8333.3333333333339</v>
      </c>
    </row>
    <row r="88" spans="1:45" x14ac:dyDescent="0.25">
      <c r="A88" t="s">
        <v>68</v>
      </c>
      <c r="B88" s="3">
        <v>-0.6372686150651633</v>
      </c>
      <c r="C88" s="3">
        <v>-0.49793639224517977</v>
      </c>
      <c r="D88" s="3">
        <v>-0.81657672886792831</v>
      </c>
      <c r="E88" s="3">
        <v>-0.63465770266202648</v>
      </c>
      <c r="F88" s="3">
        <v>-1.4542265203896492</v>
      </c>
      <c r="G88" s="3">
        <v>1.1939972590623333</v>
      </c>
      <c r="H88" s="3">
        <v>1.4135884818303712</v>
      </c>
      <c r="I88" s="2">
        <f t="shared" si="2"/>
        <v>1.3037928704463524</v>
      </c>
      <c r="J88" s="2">
        <v>1.587406861977797</v>
      </c>
      <c r="K88" s="2">
        <f t="shared" si="3"/>
        <v>1.5004976719040841</v>
      </c>
      <c r="L88" s="2">
        <v>1.329419683883313</v>
      </c>
      <c r="M88" s="2">
        <v>1.5722722345240925</v>
      </c>
      <c r="N88" s="2">
        <v>-0.48813812298811859</v>
      </c>
      <c r="O88" s="2">
        <v>-0.36415992819905901</v>
      </c>
      <c r="P88" s="2">
        <v>-0.80748671233157521</v>
      </c>
      <c r="Q88" s="2">
        <v>-0.80748671233157576</v>
      </c>
      <c r="R88" s="2">
        <v>-1.3934194858109079</v>
      </c>
      <c r="S88" s="2">
        <v>-0.49915838048690514</v>
      </c>
      <c r="T88" s="2">
        <v>-1.3112444312863623</v>
      </c>
      <c r="U88" s="2">
        <v>1.311151846304792</v>
      </c>
      <c r="V88" s="2">
        <v>2.1</v>
      </c>
      <c r="W88" s="2">
        <v>1.85</v>
      </c>
      <c r="X88" s="2">
        <v>52.4</v>
      </c>
      <c r="Y88" s="2">
        <v>17.399999999999999</v>
      </c>
      <c r="Z88" s="2">
        <v>48.8</v>
      </c>
      <c r="AA88" s="2">
        <v>16</v>
      </c>
      <c r="AB88" s="2">
        <v>82</v>
      </c>
      <c r="AC88" s="2">
        <v>87</v>
      </c>
      <c r="AD88" s="2">
        <v>13666.666666666666</v>
      </c>
      <c r="AE88" s="2">
        <v>14500</v>
      </c>
      <c r="AF88" s="2">
        <v>81</v>
      </c>
      <c r="AG88" s="2">
        <v>44</v>
      </c>
      <c r="AH88" s="2">
        <v>11.24</v>
      </c>
      <c r="AI88" s="2">
        <v>13500</v>
      </c>
      <c r="AJ88" s="2">
        <v>7333.333333333333</v>
      </c>
      <c r="AK88" s="2">
        <v>1873.3333333333333</v>
      </c>
      <c r="AL88" s="2">
        <v>81</v>
      </c>
      <c r="AM88" s="2">
        <v>50</v>
      </c>
      <c r="AN88" s="2">
        <v>11.38</v>
      </c>
      <c r="AO88" s="2">
        <v>13500</v>
      </c>
      <c r="AP88" s="2">
        <v>8333.3333333333339</v>
      </c>
      <c r="AQ88" s="2">
        <v>1896.666666666667</v>
      </c>
      <c r="AR88" s="2">
        <v>7333.333333333333</v>
      </c>
      <c r="AS88" s="2">
        <v>8333.3333333333339</v>
      </c>
    </row>
    <row r="89" spans="1:45" x14ac:dyDescent="0.25">
      <c r="A89" t="s">
        <v>68</v>
      </c>
      <c r="B89" s="3">
        <v>8.7616443800026547E-2</v>
      </c>
      <c r="C89" s="3">
        <v>-0.26864871355837838</v>
      </c>
      <c r="D89" s="3">
        <v>0.53576869912570513</v>
      </c>
      <c r="E89" s="3">
        <v>-0.12809396632368861</v>
      </c>
      <c r="F89" s="3">
        <v>-1.2468865354515104</v>
      </c>
      <c r="G89" s="3">
        <v>1.1119066586155621</v>
      </c>
      <c r="H89" s="3">
        <v>0.25531444507635637</v>
      </c>
      <c r="I89" s="2">
        <f t="shared" si="2"/>
        <v>0.6836105518459592</v>
      </c>
      <c r="J89" s="2">
        <v>-0.67314497581358046</v>
      </c>
      <c r="K89" s="2">
        <f t="shared" si="3"/>
        <v>-0.20891526536861205</v>
      </c>
      <c r="L89" s="2">
        <v>-0.82512486627097237</v>
      </c>
      <c r="M89" s="2">
        <v>-0.74124925879768533</v>
      </c>
      <c r="N89" s="2">
        <v>-1.2798731637867655</v>
      </c>
      <c r="O89" s="2">
        <v>-0.21938032143097905</v>
      </c>
      <c r="P89" s="2">
        <v>-1.0308341008488193</v>
      </c>
      <c r="Q89" s="2">
        <v>-1.0308341008488198</v>
      </c>
      <c r="R89" s="2">
        <v>-1.3488209138399394</v>
      </c>
      <c r="S89" s="2">
        <v>-1.0541501752988582</v>
      </c>
      <c r="T89" s="2">
        <v>-1.3112444312863623</v>
      </c>
      <c r="U89" s="2">
        <v>1.1372235401623194</v>
      </c>
      <c r="V89" s="2">
        <v>2.2000000000000002</v>
      </c>
      <c r="W89" s="2">
        <v>2.1</v>
      </c>
      <c r="X89" s="2">
        <v>57.2</v>
      </c>
      <c r="Y89" s="2">
        <v>19</v>
      </c>
      <c r="Z89" s="2">
        <v>52.4</v>
      </c>
      <c r="AA89" s="2">
        <v>22.4</v>
      </c>
      <c r="AB89" s="2">
        <v>100</v>
      </c>
      <c r="AC89" s="2">
        <v>120</v>
      </c>
      <c r="AD89" s="2">
        <v>16666.666666666668</v>
      </c>
      <c r="AE89" s="2">
        <v>20000</v>
      </c>
      <c r="AF89" s="2">
        <v>91</v>
      </c>
      <c r="AG89" s="2">
        <v>46</v>
      </c>
      <c r="AH89" s="2">
        <v>10.29</v>
      </c>
      <c r="AI89" s="2">
        <v>15166.666666666666</v>
      </c>
      <c r="AJ89" s="2">
        <v>7666.666666666667</v>
      </c>
      <c r="AK89" s="2">
        <v>1714.9999999999998</v>
      </c>
      <c r="AL89" s="2">
        <v>108</v>
      </c>
      <c r="AM89" s="2">
        <v>45</v>
      </c>
      <c r="AN89" s="2">
        <v>10.67</v>
      </c>
      <c r="AO89" s="2">
        <v>18000</v>
      </c>
      <c r="AP89" s="2">
        <v>7500</v>
      </c>
      <c r="AQ89" s="2">
        <v>1778.3333333333333</v>
      </c>
      <c r="AR89" s="2">
        <v>7666.666666666667</v>
      </c>
      <c r="AS89" s="2">
        <v>7500</v>
      </c>
    </row>
    <row r="90" spans="1:45" x14ac:dyDescent="0.25">
      <c r="A90" t="s">
        <v>68</v>
      </c>
      <c r="B90" s="3">
        <v>-0.60695826583283774</v>
      </c>
      <c r="C90" s="3">
        <v>-5.3357662932765358E-2</v>
      </c>
      <c r="D90" s="3">
        <v>-0.78763907040092895</v>
      </c>
      <c r="E90" s="3">
        <v>0.39729288645904931</v>
      </c>
      <c r="F90" s="3">
        <v>-1.1346188524172487</v>
      </c>
      <c r="G90" s="3">
        <v>1.1119066586155621</v>
      </c>
      <c r="H90" s="3">
        <v>0.25531444507635637</v>
      </c>
      <c r="I90" s="2">
        <f t="shared" si="2"/>
        <v>0.6836105518459592</v>
      </c>
      <c r="J90" s="2">
        <v>-0.67314497581358046</v>
      </c>
      <c r="K90" s="2">
        <f t="shared" si="3"/>
        <v>-0.20891526536861205</v>
      </c>
      <c r="L90" s="2">
        <v>-0.82512486627097237</v>
      </c>
      <c r="M90" s="2">
        <v>-0.74124925879768533</v>
      </c>
      <c r="N90" s="2">
        <v>7.7528346344467355E-2</v>
      </c>
      <c r="O90" s="2">
        <v>-0.24257012857564922</v>
      </c>
      <c r="P90" s="2">
        <v>-1.0308341008488193</v>
      </c>
      <c r="Q90" s="2">
        <v>-1.0308341008488198</v>
      </c>
      <c r="R90" s="2">
        <v>-1.3488209138399394</v>
      </c>
      <c r="S90" s="2">
        <v>-0.12155535626240435</v>
      </c>
      <c r="T90" s="2">
        <v>-1.3112444312863623</v>
      </c>
      <c r="U90" s="2">
        <v>1.1372235401623194</v>
      </c>
      <c r="V90" s="2">
        <v>1.9</v>
      </c>
      <c r="W90" s="2">
        <v>1.85</v>
      </c>
      <c r="X90" s="2">
        <v>57.2</v>
      </c>
      <c r="Y90" s="2">
        <v>19</v>
      </c>
      <c r="Z90" s="2">
        <v>52.4</v>
      </c>
      <c r="AA90" s="2">
        <v>22.4</v>
      </c>
      <c r="AB90" s="2">
        <v>100</v>
      </c>
      <c r="AC90" s="2">
        <v>120</v>
      </c>
      <c r="AD90" s="2">
        <v>16666.666666666668</v>
      </c>
      <c r="AE90" s="2">
        <v>20000</v>
      </c>
      <c r="AF90" s="2">
        <v>91</v>
      </c>
      <c r="AG90" s="2">
        <v>46</v>
      </c>
      <c r="AH90" s="2">
        <v>10.29</v>
      </c>
      <c r="AI90" s="2">
        <v>15166.666666666666</v>
      </c>
      <c r="AJ90" s="2">
        <v>7666.666666666667</v>
      </c>
      <c r="AK90" s="2">
        <v>1714.9999999999998</v>
      </c>
      <c r="AL90" s="2">
        <v>108</v>
      </c>
      <c r="AM90" s="2">
        <v>45</v>
      </c>
      <c r="AN90" s="2">
        <v>10.67</v>
      </c>
      <c r="AO90" s="2">
        <v>18000</v>
      </c>
      <c r="AP90" s="2">
        <v>7500</v>
      </c>
      <c r="AQ90" s="2">
        <v>1778.3333333333333</v>
      </c>
      <c r="AR90" s="2">
        <v>7666.666666666667</v>
      </c>
      <c r="AS90" s="2">
        <v>7500</v>
      </c>
    </row>
    <row r="91" spans="1:45" x14ac:dyDescent="0.25">
      <c r="A91" t="s">
        <v>68</v>
      </c>
      <c r="B91" s="3">
        <v>-0.66597358741992696</v>
      </c>
      <c r="C91" s="3">
        <v>-0.51139292886406129</v>
      </c>
      <c r="D91" s="3">
        <v>-0.86647595170346003</v>
      </c>
      <c r="E91" s="3">
        <v>-0.74357032578853344</v>
      </c>
      <c r="F91" s="3">
        <v>-1.3688324776559007</v>
      </c>
      <c r="G91" s="3">
        <v>1.1119066586155621</v>
      </c>
      <c r="H91" s="3">
        <v>0.25531444507635637</v>
      </c>
      <c r="I91" s="2">
        <f t="shared" si="2"/>
        <v>0.6836105518459592</v>
      </c>
      <c r="J91" s="2">
        <v>-0.67314497581358046</v>
      </c>
      <c r="K91" s="2">
        <f t="shared" si="3"/>
        <v>-0.20891526536861205</v>
      </c>
      <c r="L91" s="2">
        <v>-0.82512486627097237</v>
      </c>
      <c r="M91" s="2">
        <v>-0.74124925879768533</v>
      </c>
      <c r="N91" s="2">
        <v>0.31778808361058453</v>
      </c>
      <c r="O91" s="2">
        <v>-0.27766821506488171</v>
      </c>
      <c r="P91" s="2">
        <v>-1.0308341008488193</v>
      </c>
      <c r="Q91" s="2">
        <v>-1.0308341008488198</v>
      </c>
      <c r="R91" s="2">
        <v>-1.3488209138399394</v>
      </c>
      <c r="S91" s="2">
        <v>4.3513699963838769E-2</v>
      </c>
      <c r="T91" s="2">
        <v>-1.3112444312863623</v>
      </c>
      <c r="U91" s="2">
        <v>1.1372235401623194</v>
      </c>
      <c r="V91" s="2">
        <v>1.95</v>
      </c>
      <c r="W91" s="2">
        <v>1.7</v>
      </c>
      <c r="X91" s="2">
        <v>57.2</v>
      </c>
      <c r="Y91" s="2">
        <v>19</v>
      </c>
      <c r="Z91" s="2">
        <v>52.4</v>
      </c>
      <c r="AA91" s="2">
        <v>22.4</v>
      </c>
      <c r="AB91" s="2">
        <v>100</v>
      </c>
      <c r="AC91" s="2">
        <v>120</v>
      </c>
      <c r="AD91" s="2">
        <v>16666.666666666668</v>
      </c>
      <c r="AE91" s="2">
        <v>20000</v>
      </c>
      <c r="AF91" s="2">
        <v>91</v>
      </c>
      <c r="AG91" s="2">
        <v>46</v>
      </c>
      <c r="AH91" s="2">
        <v>10.29</v>
      </c>
      <c r="AI91" s="2">
        <v>15166.666666666666</v>
      </c>
      <c r="AJ91" s="2">
        <v>7666.666666666667</v>
      </c>
      <c r="AK91" s="2">
        <v>1714.9999999999998</v>
      </c>
      <c r="AL91" s="2">
        <v>108</v>
      </c>
      <c r="AM91" s="2">
        <v>45</v>
      </c>
      <c r="AN91" s="2">
        <v>10.67</v>
      </c>
      <c r="AO91" s="2">
        <v>18000</v>
      </c>
      <c r="AP91" s="2">
        <v>7500</v>
      </c>
      <c r="AQ91" s="2">
        <v>1778.3333333333333</v>
      </c>
      <c r="AR91" s="2">
        <v>7666.666666666667</v>
      </c>
      <c r="AS91" s="2">
        <v>7500</v>
      </c>
    </row>
    <row r="92" spans="1:45" x14ac:dyDescent="0.25">
      <c r="A92" t="s">
        <v>69</v>
      </c>
      <c r="B92" s="3">
        <v>-0.54364478202152933</v>
      </c>
      <c r="C92" s="3">
        <v>0.80221750916231382</v>
      </c>
      <c r="D92" s="3">
        <v>-0.69584015192075033</v>
      </c>
      <c r="E92" s="3">
        <v>1.4164140384051045</v>
      </c>
      <c r="F92" s="3">
        <v>-0.50865433893895806</v>
      </c>
      <c r="G92" s="3">
        <v>0.39361390470631358</v>
      </c>
      <c r="H92" s="3">
        <v>-4.6420808195697938E-2</v>
      </c>
      <c r="I92" s="2">
        <f t="shared" si="2"/>
        <v>0.17359654825530782</v>
      </c>
      <c r="J92" s="2">
        <v>-0.68154851424403162</v>
      </c>
      <c r="K92" s="2">
        <f t="shared" si="3"/>
        <v>-0.36398466121986478</v>
      </c>
      <c r="L92" s="2">
        <v>-0.86151919988844339</v>
      </c>
      <c r="M92" s="2">
        <v>-0.83049489503858476</v>
      </c>
      <c r="N92" s="2">
        <v>-0.33449698181365939</v>
      </c>
      <c r="O92" s="2">
        <v>-0.28563368687536173</v>
      </c>
      <c r="P92" s="2">
        <v>0.71127552958568596</v>
      </c>
      <c r="Q92" s="2">
        <v>0.71127552958568463</v>
      </c>
      <c r="R92" s="2">
        <v>-0.34535304449314097</v>
      </c>
      <c r="S92" s="2">
        <v>-0.25757402838660903</v>
      </c>
      <c r="T92" s="2">
        <v>3.8769634715964903E-2</v>
      </c>
      <c r="U92" s="2">
        <v>-1.1238444396898202</v>
      </c>
      <c r="V92" s="2">
        <v>2</v>
      </c>
      <c r="W92" s="2">
        <v>2.1</v>
      </c>
      <c r="X92" s="2">
        <v>54.4</v>
      </c>
      <c r="Y92" s="2">
        <v>18.399999999999999</v>
      </c>
      <c r="Z92" s="2">
        <v>54.2</v>
      </c>
      <c r="AA92" s="2">
        <v>25</v>
      </c>
      <c r="AB92" s="2">
        <v>98</v>
      </c>
      <c r="AC92" s="2">
        <v>99</v>
      </c>
      <c r="AD92" s="2">
        <v>16333.333333333334</v>
      </c>
      <c r="AE92" s="2">
        <v>16500</v>
      </c>
      <c r="AF92" s="2">
        <v>90</v>
      </c>
      <c r="AG92" s="2">
        <v>40</v>
      </c>
      <c r="AH92" s="2">
        <v>10.35</v>
      </c>
      <c r="AI92" s="2">
        <v>15000</v>
      </c>
      <c r="AJ92" s="2">
        <v>6666.666666666667</v>
      </c>
      <c r="AK92" s="2">
        <v>1725</v>
      </c>
      <c r="AL92" s="2">
        <v>97</v>
      </c>
      <c r="AM92" s="2">
        <v>99</v>
      </c>
      <c r="AN92" s="2">
        <v>15.3</v>
      </c>
      <c r="AO92" s="2">
        <v>16166.666666666666</v>
      </c>
      <c r="AP92" s="2">
        <v>16500</v>
      </c>
      <c r="AQ92" s="2">
        <v>2550</v>
      </c>
      <c r="AR92" s="2">
        <v>6666.666666666667</v>
      </c>
      <c r="AS92" s="2">
        <v>16500</v>
      </c>
    </row>
    <row r="93" spans="1:45" x14ac:dyDescent="0.25">
      <c r="A93" t="s">
        <v>69</v>
      </c>
      <c r="B93" s="3">
        <v>3.3410449004557079</v>
      </c>
      <c r="C93" s="3">
        <v>3.8177053055161198E-2</v>
      </c>
      <c r="D93" s="3">
        <v>2.5494194282446427</v>
      </c>
      <c r="E93" s="3">
        <v>0.47124453174715175</v>
      </c>
      <c r="F93" s="3">
        <v>-0.40638919091995801</v>
      </c>
      <c r="G93" s="3">
        <v>0.39361390470631358</v>
      </c>
      <c r="H93" s="3">
        <v>-4.6420808195697938E-2</v>
      </c>
      <c r="I93" s="2">
        <f t="shared" si="2"/>
        <v>0.17359654825530782</v>
      </c>
      <c r="J93" s="2">
        <v>-0.68154851424403162</v>
      </c>
      <c r="K93" s="2">
        <f t="shared" si="3"/>
        <v>-0.36398466121986478</v>
      </c>
      <c r="L93" s="2">
        <v>-0.86151919988844339</v>
      </c>
      <c r="M93" s="2">
        <v>-0.83049489503858476</v>
      </c>
      <c r="N93" s="2">
        <v>-0.28798507632408143</v>
      </c>
      <c r="O93" s="2">
        <v>-0.25387991117778658</v>
      </c>
      <c r="P93" s="2">
        <v>0.71127552958568596</v>
      </c>
      <c r="Q93" s="2">
        <v>0.71127552958568463</v>
      </c>
      <c r="R93" s="2">
        <v>-0.34535304449314097</v>
      </c>
      <c r="S93" s="2">
        <v>-0.20715498083446376</v>
      </c>
      <c r="T93" s="2">
        <v>3.8769634715964903E-2</v>
      </c>
      <c r="U93" s="2">
        <v>-1.1238444396898202</v>
      </c>
      <c r="V93" s="2">
        <v>1.9</v>
      </c>
      <c r="W93" s="2">
        <v>2</v>
      </c>
      <c r="X93" s="2">
        <v>54.4</v>
      </c>
      <c r="Y93" s="2">
        <v>18.399999999999999</v>
      </c>
      <c r="Z93" s="2">
        <v>54.2</v>
      </c>
      <c r="AA93" s="2">
        <v>25</v>
      </c>
      <c r="AB93" s="2">
        <v>98</v>
      </c>
      <c r="AC93" s="2">
        <v>99</v>
      </c>
      <c r="AD93" s="2">
        <v>16333.333333333334</v>
      </c>
      <c r="AE93" s="2">
        <v>16500</v>
      </c>
      <c r="AF93" s="2">
        <v>90</v>
      </c>
      <c r="AG93" s="2">
        <v>40</v>
      </c>
      <c r="AH93" s="2">
        <v>10.35</v>
      </c>
      <c r="AI93" s="2">
        <v>15000</v>
      </c>
      <c r="AJ93" s="2">
        <v>6666.666666666667</v>
      </c>
      <c r="AK93" s="2">
        <v>1725</v>
      </c>
      <c r="AL93" s="2">
        <v>97</v>
      </c>
      <c r="AM93" s="2">
        <v>99</v>
      </c>
      <c r="AN93" s="2">
        <v>15.3</v>
      </c>
      <c r="AO93" s="2">
        <v>16166.666666666666</v>
      </c>
      <c r="AP93" s="2">
        <v>16500</v>
      </c>
      <c r="AQ93" s="2">
        <v>2550</v>
      </c>
      <c r="AR93" s="2">
        <v>6666.666666666667</v>
      </c>
      <c r="AS93" s="2">
        <v>16500</v>
      </c>
    </row>
    <row r="94" spans="1:45" x14ac:dyDescent="0.25">
      <c r="A94" t="s">
        <v>69</v>
      </c>
      <c r="B94" s="3">
        <v>0.41114017840982314</v>
      </c>
      <c r="C94" s="3">
        <v>5.0595250689420571E-2</v>
      </c>
      <c r="D94" s="3">
        <v>0.85711244319189483</v>
      </c>
      <c r="E94" s="3">
        <v>0.45193712973511652</v>
      </c>
      <c r="F94" s="3">
        <v>-0.31132579921210118</v>
      </c>
      <c r="G94" s="3">
        <v>0.39361390470631358</v>
      </c>
      <c r="H94" s="3">
        <v>-4.6420808195697938E-2</v>
      </c>
      <c r="I94" s="2">
        <f t="shared" si="2"/>
        <v>0.17359654825530782</v>
      </c>
      <c r="J94" s="2">
        <v>-0.68154851424403162</v>
      </c>
      <c r="K94" s="2">
        <f t="shared" si="3"/>
        <v>-0.36398466121986478</v>
      </c>
      <c r="L94" s="2">
        <v>-0.86151919988844339</v>
      </c>
      <c r="M94" s="2">
        <v>-0.83049489503858476</v>
      </c>
      <c r="N94" s="2">
        <v>-0.22000613753161966</v>
      </c>
      <c r="O94" s="2">
        <v>-0.21819471563193946</v>
      </c>
      <c r="P94" s="2">
        <v>0.71127552958568596</v>
      </c>
      <c r="Q94" s="2">
        <v>0.71127552958568463</v>
      </c>
      <c r="R94" s="2">
        <v>-0.34535304449314097</v>
      </c>
      <c r="S94" s="2">
        <v>-0.133465603642867</v>
      </c>
      <c r="T94" s="2">
        <v>3.8769634715964903E-2</v>
      </c>
      <c r="U94" s="2">
        <v>-1.1238444396898202</v>
      </c>
      <c r="V94" s="2">
        <v>1.85</v>
      </c>
      <c r="W94" s="2">
        <v>1.8</v>
      </c>
      <c r="X94" s="2">
        <v>54.4</v>
      </c>
      <c r="Y94" s="2">
        <v>18.399999999999999</v>
      </c>
      <c r="Z94" s="2">
        <v>54.2</v>
      </c>
      <c r="AA94" s="2">
        <v>25</v>
      </c>
      <c r="AB94" s="2">
        <v>98</v>
      </c>
      <c r="AC94" s="2">
        <v>99</v>
      </c>
      <c r="AD94" s="2">
        <v>16333.333333333334</v>
      </c>
      <c r="AE94" s="2">
        <v>16500</v>
      </c>
      <c r="AF94" s="2">
        <v>90</v>
      </c>
      <c r="AG94" s="2">
        <v>40</v>
      </c>
      <c r="AH94" s="2">
        <v>10.35</v>
      </c>
      <c r="AI94" s="2">
        <v>15000</v>
      </c>
      <c r="AJ94" s="2">
        <v>6666.666666666667</v>
      </c>
      <c r="AK94" s="2">
        <v>1725</v>
      </c>
      <c r="AL94" s="2">
        <v>97</v>
      </c>
      <c r="AM94" s="2">
        <v>99</v>
      </c>
      <c r="AN94" s="2">
        <v>15.3</v>
      </c>
      <c r="AO94" s="2">
        <v>16166.666666666666</v>
      </c>
      <c r="AP94" s="2">
        <v>16500</v>
      </c>
      <c r="AQ94" s="2">
        <v>2550</v>
      </c>
      <c r="AR94" s="2">
        <v>6666.666666666667</v>
      </c>
      <c r="AS94" s="2">
        <v>16500</v>
      </c>
    </row>
    <row r="95" spans="1:45" x14ac:dyDescent="0.25">
      <c r="A95" t="s">
        <v>69</v>
      </c>
      <c r="B95" s="3">
        <v>1.1848711405333068</v>
      </c>
      <c r="C95" s="3">
        <v>-0.50496607042847053</v>
      </c>
      <c r="D95" s="3">
        <v>1.430746587173122</v>
      </c>
      <c r="E95" s="3">
        <v>-0.68631827184921912</v>
      </c>
      <c r="F95" s="3">
        <v>-5.5550371485521617E-2</v>
      </c>
      <c r="G95" s="3">
        <v>0.55779510559985612</v>
      </c>
      <c r="H95" s="3">
        <v>-0.43575661886931638</v>
      </c>
      <c r="I95" s="2">
        <f t="shared" si="2"/>
        <v>6.1019243365269871E-2</v>
      </c>
      <c r="J95" s="2">
        <v>-1.0092865130316291</v>
      </c>
      <c r="K95" s="2">
        <f t="shared" si="3"/>
        <v>-0.72252156595047268</v>
      </c>
      <c r="L95" s="2">
        <v>-1.2109048026161653</v>
      </c>
      <c r="M95" s="2">
        <v>-1.297318223067905</v>
      </c>
      <c r="N95" s="2">
        <v>3.6421083085051631</v>
      </c>
      <c r="O95" s="2">
        <v>3.9252193875345758</v>
      </c>
      <c r="P95" s="2">
        <v>-0.65114354036950406</v>
      </c>
      <c r="Q95" s="2">
        <v>-0.65114354036950461</v>
      </c>
      <c r="R95" s="2">
        <v>-0.74674019223186028</v>
      </c>
      <c r="S95" s="2">
        <v>2.7035630034183882</v>
      </c>
      <c r="T95" s="2">
        <v>3.8769634715964903E-2</v>
      </c>
      <c r="U95" s="2">
        <v>0.61543862173490227</v>
      </c>
      <c r="V95" s="2">
        <v>1.78</v>
      </c>
      <c r="W95" s="2">
        <v>1.95</v>
      </c>
      <c r="X95" s="2">
        <v>52.4</v>
      </c>
      <c r="Y95" s="2">
        <v>18.8</v>
      </c>
      <c r="Z95" s="2">
        <v>49.4</v>
      </c>
      <c r="AA95" s="2">
        <v>20.2</v>
      </c>
      <c r="AB95" s="2">
        <v>85</v>
      </c>
      <c r="AC95" s="2">
        <v>90</v>
      </c>
      <c r="AD95" s="2">
        <v>14166.666666666666</v>
      </c>
      <c r="AE95" s="2">
        <v>15000</v>
      </c>
      <c r="AF95" s="2">
        <v>76</v>
      </c>
      <c r="AG95" s="2">
        <v>41</v>
      </c>
      <c r="AH95" s="2">
        <v>9.81</v>
      </c>
      <c r="AI95" s="2">
        <v>12666.666666666666</v>
      </c>
      <c r="AJ95" s="2">
        <v>6833.333333333333</v>
      </c>
      <c r="AK95" s="2">
        <v>1635</v>
      </c>
      <c r="AL95" s="2">
        <v>81</v>
      </c>
      <c r="AM95" s="2">
        <v>48</v>
      </c>
      <c r="AN95" s="2">
        <v>8.74</v>
      </c>
      <c r="AO95" s="2">
        <v>13500</v>
      </c>
      <c r="AP95" s="2">
        <v>8000</v>
      </c>
      <c r="AQ95" s="2">
        <v>1456.6666666666667</v>
      </c>
      <c r="AR95" s="2">
        <v>6833.333333333333</v>
      </c>
      <c r="AS95" s="2">
        <v>8000</v>
      </c>
    </row>
    <row r="96" spans="1:45" x14ac:dyDescent="0.25">
      <c r="A96" t="s">
        <v>69</v>
      </c>
      <c r="B96" s="3">
        <v>0.16293381615754435</v>
      </c>
      <c r="C96" s="3">
        <v>0.5074994219157114</v>
      </c>
      <c r="D96" s="3">
        <v>0.57112923558430284</v>
      </c>
      <c r="E96" s="3">
        <v>1.0266317912234755</v>
      </c>
      <c r="F96" s="3">
        <v>9.8143683673146687E-2</v>
      </c>
      <c r="G96" s="3">
        <v>0.55779510559985612</v>
      </c>
      <c r="H96" s="3">
        <v>-0.43575661886931638</v>
      </c>
      <c r="I96" s="2">
        <f t="shared" si="2"/>
        <v>6.1019243365269871E-2</v>
      </c>
      <c r="J96" s="2">
        <v>-1.0092865130316291</v>
      </c>
      <c r="K96" s="2">
        <f t="shared" si="3"/>
        <v>-0.72252156595047268</v>
      </c>
      <c r="L96" s="2">
        <v>-1.2109048026161653</v>
      </c>
      <c r="M96" s="2">
        <v>-1.297318223067905</v>
      </c>
      <c r="N96" s="2">
        <v>4.2288738854506116</v>
      </c>
      <c r="O96" s="2">
        <v>4.15051998653166</v>
      </c>
      <c r="P96" s="2">
        <v>-0.65114354036950406</v>
      </c>
      <c r="Q96" s="2">
        <v>-0.65114354036950461</v>
      </c>
      <c r="R96" s="2">
        <v>-0.74674019223186028</v>
      </c>
      <c r="S96" s="2">
        <v>3.1574618901572369</v>
      </c>
      <c r="T96" s="2">
        <v>3.8769634715964903E-2</v>
      </c>
      <c r="U96" s="2">
        <v>0.61543862173490227</v>
      </c>
      <c r="V96" s="2">
        <v>1.74</v>
      </c>
      <c r="W96" s="2">
        <v>1.9</v>
      </c>
      <c r="X96" s="2">
        <v>52.4</v>
      </c>
      <c r="Y96" s="2">
        <v>18.8</v>
      </c>
      <c r="Z96" s="2">
        <v>49.4</v>
      </c>
      <c r="AA96" s="2">
        <v>20.2</v>
      </c>
      <c r="AB96" s="2">
        <v>85</v>
      </c>
      <c r="AC96" s="2">
        <v>90</v>
      </c>
      <c r="AD96" s="2">
        <v>14166.666666666666</v>
      </c>
      <c r="AE96" s="2">
        <v>15000</v>
      </c>
      <c r="AF96" s="2">
        <v>76</v>
      </c>
      <c r="AG96" s="2">
        <v>41</v>
      </c>
      <c r="AH96" s="2">
        <v>9.81</v>
      </c>
      <c r="AI96" s="2">
        <v>12666.666666666666</v>
      </c>
      <c r="AJ96" s="2">
        <v>6833.333333333333</v>
      </c>
      <c r="AK96" s="2">
        <v>1635</v>
      </c>
      <c r="AL96" s="2">
        <v>81</v>
      </c>
      <c r="AM96" s="2">
        <v>48</v>
      </c>
      <c r="AN96" s="2">
        <v>8.74</v>
      </c>
      <c r="AO96" s="2">
        <v>13500</v>
      </c>
      <c r="AP96" s="2">
        <v>8000</v>
      </c>
      <c r="AQ96" s="2">
        <v>1456.6666666666667</v>
      </c>
      <c r="AR96" s="2">
        <v>6833.333333333333</v>
      </c>
      <c r="AS96" s="2">
        <v>8000</v>
      </c>
    </row>
    <row r="97" spans="1:45" x14ac:dyDescent="0.25">
      <c r="A97" t="s">
        <v>69</v>
      </c>
      <c r="B97" s="3">
        <v>0.88501848039799447</v>
      </c>
      <c r="C97" s="3">
        <v>0.548876559260698</v>
      </c>
      <c r="D97" s="3">
        <v>1.2050982869357691</v>
      </c>
      <c r="E97" s="3">
        <v>1.1678459519337077</v>
      </c>
      <c r="F97" s="3">
        <v>-0.76136684956920042</v>
      </c>
      <c r="G97" s="3">
        <v>0.55779510559985612</v>
      </c>
      <c r="H97" s="3">
        <v>-0.43575661886931638</v>
      </c>
      <c r="I97" s="2">
        <f t="shared" si="2"/>
        <v>6.1019243365269871E-2</v>
      </c>
      <c r="J97" s="2">
        <v>-1.0092865130316291</v>
      </c>
      <c r="K97" s="2">
        <f t="shared" si="3"/>
        <v>-0.72252156595047268</v>
      </c>
      <c r="L97" s="2">
        <v>-1.2109048026161653</v>
      </c>
      <c r="M97" s="2">
        <v>-1.297318223067905</v>
      </c>
      <c r="N97" s="2">
        <v>4.2386316278610252</v>
      </c>
      <c r="O97" s="2">
        <v>3.9228000522433319</v>
      </c>
      <c r="P97" s="2">
        <v>-0.65114354036950406</v>
      </c>
      <c r="Q97" s="2">
        <v>-0.65114354036950461</v>
      </c>
      <c r="R97" s="2">
        <v>-0.74674019223186028</v>
      </c>
      <c r="S97" s="2">
        <v>3.1650100978081048</v>
      </c>
      <c r="T97" s="2">
        <v>3.8769634715964903E-2</v>
      </c>
      <c r="U97" s="2">
        <v>0.61543862173490227</v>
      </c>
      <c r="V97" s="2">
        <v>1.9</v>
      </c>
      <c r="W97" s="2">
        <v>1.7</v>
      </c>
      <c r="X97" s="2">
        <v>52.4</v>
      </c>
      <c r="Y97" s="2">
        <v>18.8</v>
      </c>
      <c r="Z97" s="2">
        <v>49.4</v>
      </c>
      <c r="AA97" s="2">
        <v>20.2</v>
      </c>
      <c r="AB97" s="2">
        <v>85</v>
      </c>
      <c r="AC97" s="2">
        <v>90</v>
      </c>
      <c r="AD97" s="2">
        <v>14166.666666666666</v>
      </c>
      <c r="AE97" s="2">
        <v>15000</v>
      </c>
      <c r="AF97" s="2">
        <v>76</v>
      </c>
      <c r="AG97" s="2">
        <v>41</v>
      </c>
      <c r="AH97" s="2">
        <v>9.81</v>
      </c>
      <c r="AI97" s="2">
        <v>12666.666666666666</v>
      </c>
      <c r="AJ97" s="2">
        <v>6833.333333333333</v>
      </c>
      <c r="AK97" s="2">
        <v>1635</v>
      </c>
      <c r="AL97" s="2">
        <v>81</v>
      </c>
      <c r="AM97" s="2">
        <v>48</v>
      </c>
      <c r="AN97" s="2">
        <v>8.74</v>
      </c>
      <c r="AO97" s="2">
        <v>13500</v>
      </c>
      <c r="AP97" s="2">
        <v>8000</v>
      </c>
      <c r="AQ97" s="2">
        <v>1456.6666666666667</v>
      </c>
      <c r="AR97" s="2">
        <v>6833.333333333333</v>
      </c>
      <c r="AS97" s="2">
        <v>8000</v>
      </c>
    </row>
    <row r="98" spans="1:45" x14ac:dyDescent="0.25">
      <c r="A98" t="s">
        <v>69</v>
      </c>
      <c r="B98" s="3">
        <v>1.1443275170141618</v>
      </c>
      <c r="C98" s="3">
        <v>-8.3443728284251145E-2</v>
      </c>
      <c r="D98" s="3">
        <v>1.4225750699265662</v>
      </c>
      <c r="E98" s="3">
        <v>0.34743212482918784</v>
      </c>
      <c r="F98" s="3">
        <v>0.3529825413445522</v>
      </c>
      <c r="G98" s="3">
        <v>0.70145365638170587</v>
      </c>
      <c r="H98" s="3">
        <v>-0.28975568986670946</v>
      </c>
      <c r="I98" s="2">
        <f t="shared" si="2"/>
        <v>0.2058489832574982</v>
      </c>
      <c r="J98" s="2">
        <v>-0.88323343657486086</v>
      </c>
      <c r="K98" s="2">
        <f t="shared" si="3"/>
        <v>-0.58649456322078519</v>
      </c>
      <c r="L98" s="2">
        <v>-1.0798852015932696</v>
      </c>
      <c r="M98" s="2">
        <v>-1.2835881251846897</v>
      </c>
      <c r="N98" s="2">
        <v>-0.26041941596391438</v>
      </c>
      <c r="O98" s="2">
        <v>-0.23818286776449663</v>
      </c>
      <c r="P98" s="2">
        <v>0.86761870154775766</v>
      </c>
      <c r="Q98" s="2">
        <v>0.86761870154775667</v>
      </c>
      <c r="R98" s="2">
        <v>0.25672767711493771</v>
      </c>
      <c r="S98" s="2">
        <v>-0.16143696737445212</v>
      </c>
      <c r="T98" s="2">
        <v>-0.39323486640477956</v>
      </c>
      <c r="U98" s="2">
        <v>0.61543862173490227</v>
      </c>
      <c r="V98" s="2">
        <v>2.2000000000000002</v>
      </c>
      <c r="W98" s="2">
        <v>1.7</v>
      </c>
      <c r="X98" s="2">
        <v>54.4</v>
      </c>
      <c r="Y98" s="2">
        <v>17.600000000000001</v>
      </c>
      <c r="Z98" s="2">
        <v>49.6</v>
      </c>
      <c r="AA98" s="2">
        <v>14.4</v>
      </c>
      <c r="AB98" s="2">
        <v>68</v>
      </c>
      <c r="AC98" s="2">
        <v>79</v>
      </c>
      <c r="AD98" s="2">
        <v>11333.333333333334</v>
      </c>
      <c r="AE98" s="2">
        <v>13166.666666666666</v>
      </c>
      <c r="AF98" s="2">
        <v>62</v>
      </c>
      <c r="AG98" s="2">
        <v>31</v>
      </c>
      <c r="AH98" s="2">
        <v>8.43</v>
      </c>
      <c r="AI98" s="2">
        <v>10333.333333333334</v>
      </c>
      <c r="AJ98" s="2">
        <v>5166.666666666667</v>
      </c>
      <c r="AK98" s="2">
        <v>1405</v>
      </c>
      <c r="AL98" s="2">
        <v>72</v>
      </c>
      <c r="AM98" s="2">
        <v>37</v>
      </c>
      <c r="AN98" s="2">
        <v>7.84</v>
      </c>
      <c r="AO98" s="2">
        <v>12000</v>
      </c>
      <c r="AP98" s="2">
        <v>6166.666666666667</v>
      </c>
      <c r="AQ98" s="2">
        <v>1306.6666666666667</v>
      </c>
      <c r="AR98" s="2">
        <v>5166.666666666667</v>
      </c>
      <c r="AS98" s="2">
        <v>6166.666666666667</v>
      </c>
    </row>
    <row r="99" spans="1:45" x14ac:dyDescent="0.25">
      <c r="A99" t="s">
        <v>69</v>
      </c>
      <c r="B99" s="3">
        <v>-0.44802323310055253</v>
      </c>
      <c r="C99" s="3">
        <v>3.8779449900559967E-2</v>
      </c>
      <c r="D99" s="3">
        <v>-0.36870135988623431</v>
      </c>
      <c r="E99" s="3">
        <v>0.57513772599460733</v>
      </c>
      <c r="F99" s="3">
        <v>0.34545176700757779</v>
      </c>
      <c r="G99" s="3">
        <v>0.70145365638170587</v>
      </c>
      <c r="H99" s="3">
        <v>-0.28975568986670946</v>
      </c>
      <c r="I99" s="2">
        <f t="shared" si="2"/>
        <v>0.2058489832574982</v>
      </c>
      <c r="J99" s="2">
        <v>-0.88323343657486086</v>
      </c>
      <c r="K99" s="2">
        <f t="shared" si="3"/>
        <v>-0.58649456322078519</v>
      </c>
      <c r="L99" s="2">
        <v>-1.0798852015932696</v>
      </c>
      <c r="M99" s="2">
        <v>-1.2835881251846897</v>
      </c>
      <c r="N99" s="2">
        <v>-0.2739505275407158</v>
      </c>
      <c r="O99" s="2">
        <v>-0.23442235849779219</v>
      </c>
      <c r="P99" s="2">
        <v>0.86761870154775766</v>
      </c>
      <c r="Q99" s="2">
        <v>0.86761870154775667</v>
      </c>
      <c r="R99" s="2">
        <v>0.25672767711493771</v>
      </c>
      <c r="S99" s="2">
        <v>-0.17658677290111885</v>
      </c>
      <c r="T99" s="2">
        <v>-0.39323486640477956</v>
      </c>
      <c r="U99" s="2">
        <v>0.61543862173490227</v>
      </c>
      <c r="V99" s="2">
        <v>1.97</v>
      </c>
      <c r="W99" s="2">
        <v>2</v>
      </c>
      <c r="X99" s="2">
        <v>54.4</v>
      </c>
      <c r="Y99" s="2">
        <v>17.600000000000001</v>
      </c>
      <c r="Z99" s="2">
        <v>49.6</v>
      </c>
      <c r="AA99" s="2">
        <v>14.4</v>
      </c>
      <c r="AB99" s="2">
        <v>68</v>
      </c>
      <c r="AC99" s="2">
        <v>79</v>
      </c>
      <c r="AD99" s="2">
        <v>11333.333333333334</v>
      </c>
      <c r="AE99" s="2">
        <v>13166.666666666666</v>
      </c>
      <c r="AF99" s="2">
        <v>62</v>
      </c>
      <c r="AG99" s="2">
        <v>31</v>
      </c>
      <c r="AH99" s="2">
        <v>8.43</v>
      </c>
      <c r="AI99" s="2">
        <v>10333.333333333334</v>
      </c>
      <c r="AJ99" s="2">
        <v>5166.666666666667</v>
      </c>
      <c r="AK99" s="2">
        <v>1405</v>
      </c>
      <c r="AL99" s="2">
        <v>72</v>
      </c>
      <c r="AM99" s="2">
        <v>37</v>
      </c>
      <c r="AN99" s="2">
        <v>7.84</v>
      </c>
      <c r="AO99" s="2">
        <v>12000</v>
      </c>
      <c r="AP99" s="2">
        <v>6166.666666666667</v>
      </c>
      <c r="AQ99" s="2">
        <v>1306.6666666666667</v>
      </c>
      <c r="AR99" s="2">
        <v>5166.666666666667</v>
      </c>
      <c r="AS99" s="2">
        <v>6166.666666666667</v>
      </c>
    </row>
    <row r="100" spans="1:45" x14ac:dyDescent="0.25">
      <c r="A100" t="s">
        <v>69</v>
      </c>
      <c r="B100" s="3">
        <v>0.11928515321077678</v>
      </c>
      <c r="C100" s="3">
        <v>0.29572605160640136</v>
      </c>
      <c r="D100" s="3">
        <v>0.55898514597218563</v>
      </c>
      <c r="E100" s="3">
        <v>0.96755979418617166</v>
      </c>
      <c r="F100" s="3">
        <v>0.23791242090619702</v>
      </c>
      <c r="G100" s="3">
        <v>0.70145365638170587</v>
      </c>
      <c r="H100" s="3">
        <v>-0.28975568986670946</v>
      </c>
      <c r="I100" s="2">
        <f t="shared" si="2"/>
        <v>0.2058489832574982</v>
      </c>
      <c r="J100" s="2">
        <v>-0.88323343657486086</v>
      </c>
      <c r="K100" s="2">
        <f t="shared" si="3"/>
        <v>-0.58649456322078519</v>
      </c>
      <c r="L100" s="2">
        <v>-1.0798852015932696</v>
      </c>
      <c r="M100" s="2">
        <v>-1.2835881251846897</v>
      </c>
      <c r="N100" s="2">
        <v>-0.26701995819650037</v>
      </c>
      <c r="O100" s="2">
        <v>-0.23630261313114487</v>
      </c>
      <c r="P100" s="2">
        <v>0.86761870154775766</v>
      </c>
      <c r="Q100" s="2">
        <v>0.86761870154775667</v>
      </c>
      <c r="R100" s="2">
        <v>0.25672767711493771</v>
      </c>
      <c r="S100" s="2">
        <v>-0.16882711641185069</v>
      </c>
      <c r="T100" s="2">
        <v>-0.39323486640477956</v>
      </c>
      <c r="U100" s="2">
        <v>0.61543862173490227</v>
      </c>
      <c r="V100" s="2">
        <v>2</v>
      </c>
      <c r="W100" s="2">
        <v>2.1</v>
      </c>
      <c r="X100" s="2">
        <v>54.4</v>
      </c>
      <c r="Y100" s="2">
        <v>17.600000000000001</v>
      </c>
      <c r="Z100" s="2">
        <v>49.6</v>
      </c>
      <c r="AA100" s="2">
        <v>14.4</v>
      </c>
      <c r="AB100" s="2">
        <v>68</v>
      </c>
      <c r="AC100" s="2">
        <v>79</v>
      </c>
      <c r="AD100" s="2">
        <v>11333.333333333334</v>
      </c>
      <c r="AE100" s="2">
        <v>13166.666666666666</v>
      </c>
      <c r="AF100" s="2">
        <v>62</v>
      </c>
      <c r="AG100" s="2">
        <v>31</v>
      </c>
      <c r="AH100" s="2">
        <v>8.43</v>
      </c>
      <c r="AI100" s="2">
        <v>10333.333333333334</v>
      </c>
      <c r="AJ100" s="2">
        <v>5166.666666666667</v>
      </c>
      <c r="AK100" s="2">
        <v>1405</v>
      </c>
      <c r="AL100" s="2">
        <v>72</v>
      </c>
      <c r="AM100" s="2">
        <v>37</v>
      </c>
      <c r="AN100" s="2">
        <v>7.84</v>
      </c>
      <c r="AO100" s="2">
        <v>12000</v>
      </c>
      <c r="AP100" s="2">
        <v>6166.666666666667</v>
      </c>
      <c r="AQ100" s="2">
        <v>1306.6666666666667</v>
      </c>
      <c r="AR100" s="2">
        <v>5166.666666666667</v>
      </c>
      <c r="AS100" s="2">
        <v>6166.666666666667</v>
      </c>
    </row>
    <row r="101" spans="1:45" x14ac:dyDescent="0.25">
      <c r="A101" t="s">
        <v>70</v>
      </c>
      <c r="B101" s="3">
        <v>1.6904646765605031</v>
      </c>
      <c r="C101" s="3">
        <v>2.4847660050762346</v>
      </c>
      <c r="D101" s="3">
        <v>1.6600645981098807</v>
      </c>
      <c r="E101" s="3">
        <v>2.5121669277305148</v>
      </c>
      <c r="F101" s="3">
        <v>-1.6724943610099305</v>
      </c>
      <c r="G101" s="3">
        <v>1.0708613583921764</v>
      </c>
      <c r="H101" s="3">
        <v>0.32344821194423962</v>
      </c>
      <c r="I101" s="2">
        <f t="shared" si="2"/>
        <v>0.69715478516820806</v>
      </c>
      <c r="J101" s="2">
        <v>-0.15212559312560492</v>
      </c>
      <c r="K101" s="2">
        <f t="shared" si="3"/>
        <v>8.5661309409317349E-2</v>
      </c>
      <c r="L101" s="2">
        <v>-0.42478719647879098</v>
      </c>
      <c r="M101" s="2">
        <v>-0.54216283949106348</v>
      </c>
      <c r="N101" s="2">
        <v>-0.32181191668013909</v>
      </c>
      <c r="O101" s="2">
        <v>-0.22575513841707651</v>
      </c>
      <c r="P101" s="2">
        <v>-0.56180458496260621</v>
      </c>
      <c r="Q101" s="2">
        <v>-0.56180458496260677</v>
      </c>
      <c r="R101" s="2">
        <v>-1.7948066335496273</v>
      </c>
      <c r="S101" s="2">
        <v>-0.35497073671323326</v>
      </c>
      <c r="T101" s="2">
        <v>3.8769634715964903E-2</v>
      </c>
      <c r="U101" s="2">
        <v>-0.77598782740487526</v>
      </c>
      <c r="V101" s="2">
        <v>1.8</v>
      </c>
      <c r="W101" s="2">
        <v>1.95</v>
      </c>
      <c r="X101" s="2">
        <v>55.8</v>
      </c>
      <c r="Y101" s="2">
        <v>19.8</v>
      </c>
      <c r="Z101" s="2">
        <v>49.2</v>
      </c>
      <c r="AA101" s="2">
        <v>22</v>
      </c>
      <c r="AB101" s="2">
        <v>102</v>
      </c>
      <c r="AC101" s="2">
        <v>113</v>
      </c>
      <c r="AD101" s="2">
        <v>17000</v>
      </c>
      <c r="AE101" s="2">
        <v>18833.333333333332</v>
      </c>
      <c r="AF101" s="2">
        <v>112</v>
      </c>
      <c r="AG101" s="2">
        <v>55</v>
      </c>
      <c r="AH101" s="2">
        <v>11.7</v>
      </c>
      <c r="AI101" s="2">
        <v>18666.666666666668</v>
      </c>
      <c r="AJ101" s="2">
        <v>9166.6666666666661</v>
      </c>
      <c r="AK101" s="2">
        <v>1950</v>
      </c>
      <c r="AL101" s="2">
        <v>108</v>
      </c>
      <c r="AM101" s="2">
        <v>47</v>
      </c>
      <c r="AN101" s="2">
        <v>9.41</v>
      </c>
      <c r="AO101" s="2">
        <v>18000</v>
      </c>
      <c r="AP101" s="2">
        <v>7833.333333333333</v>
      </c>
      <c r="AQ101" s="2">
        <v>1568.3333333333333</v>
      </c>
      <c r="AR101" s="2">
        <v>9166.6666666666661</v>
      </c>
      <c r="AS101" s="2">
        <v>7833.333333333333</v>
      </c>
    </row>
    <row r="102" spans="1:45" x14ac:dyDescent="0.25">
      <c r="A102" t="s">
        <v>70</v>
      </c>
      <c r="B102" s="3">
        <v>1.6904646765605031</v>
      </c>
      <c r="C102" s="3">
        <v>2.4847660050762346</v>
      </c>
      <c r="D102" s="3">
        <v>1.6600645981098807</v>
      </c>
      <c r="E102" s="3">
        <v>2.5121669277305148</v>
      </c>
      <c r="F102" s="3">
        <v>-1.7476698762201208</v>
      </c>
      <c r="G102" s="3">
        <v>1.0708613583921764</v>
      </c>
      <c r="H102" s="3">
        <v>0.32344821194423962</v>
      </c>
      <c r="I102" s="2">
        <f t="shared" si="2"/>
        <v>0.69715478516820806</v>
      </c>
      <c r="J102" s="2">
        <v>-0.15212559312560492</v>
      </c>
      <c r="K102" s="2">
        <f t="shared" si="3"/>
        <v>8.5661309409317349E-2</v>
      </c>
      <c r="L102" s="2">
        <v>-0.42478719647879098</v>
      </c>
      <c r="M102" s="2">
        <v>-0.54216283949106348</v>
      </c>
      <c r="N102" s="2">
        <v>-0.28050414047610567</v>
      </c>
      <c r="O102" s="2">
        <v>-0.25932341558308458</v>
      </c>
      <c r="P102" s="2">
        <v>-0.56180458496260621</v>
      </c>
      <c r="Q102" s="2">
        <v>-0.56180458496260677</v>
      </c>
      <c r="R102" s="2">
        <v>-1.7948066335496273</v>
      </c>
      <c r="S102" s="2">
        <v>-0.32217576084064697</v>
      </c>
      <c r="T102" s="2">
        <v>3.8769634715964903E-2</v>
      </c>
      <c r="U102" s="2">
        <v>-0.77598782740487526</v>
      </c>
      <c r="V102" s="2">
        <v>1.65</v>
      </c>
      <c r="W102" s="2">
        <v>1.8</v>
      </c>
      <c r="X102" s="2">
        <v>55.8</v>
      </c>
      <c r="Y102" s="2">
        <v>19.8</v>
      </c>
      <c r="Z102" s="2">
        <v>49.2</v>
      </c>
      <c r="AA102" s="2">
        <v>22</v>
      </c>
      <c r="AB102" s="2">
        <v>102</v>
      </c>
      <c r="AC102" s="2">
        <v>113</v>
      </c>
      <c r="AD102" s="2">
        <v>17000</v>
      </c>
      <c r="AE102" s="2">
        <v>18833.333333333332</v>
      </c>
      <c r="AF102" s="2">
        <v>112</v>
      </c>
      <c r="AG102" s="2">
        <v>55</v>
      </c>
      <c r="AH102" s="2">
        <v>11.7</v>
      </c>
      <c r="AI102" s="2">
        <v>18666.666666666668</v>
      </c>
      <c r="AJ102" s="2">
        <v>9166.6666666666661</v>
      </c>
      <c r="AK102" s="2">
        <v>1950</v>
      </c>
      <c r="AL102" s="2">
        <v>108</v>
      </c>
      <c r="AM102" s="2">
        <v>47</v>
      </c>
      <c r="AN102" s="2">
        <v>9.41</v>
      </c>
      <c r="AO102" s="2">
        <v>18000</v>
      </c>
      <c r="AP102" s="2">
        <v>7833.333333333333</v>
      </c>
      <c r="AQ102" s="2">
        <v>1568.3333333333333</v>
      </c>
      <c r="AR102" s="2">
        <v>9166.6666666666661</v>
      </c>
      <c r="AS102" s="2">
        <v>7833.333333333333</v>
      </c>
    </row>
    <row r="103" spans="1:45" x14ac:dyDescent="0.25">
      <c r="A103" t="s">
        <v>70</v>
      </c>
      <c r="B103" s="3">
        <v>2.8811027249089545</v>
      </c>
      <c r="C103" s="3">
        <v>-3.8612693480896923E-2</v>
      </c>
      <c r="D103" s="3">
        <v>2.3229956252884025</v>
      </c>
      <c r="E103" s="3">
        <v>0.34894332297041208</v>
      </c>
      <c r="F103" s="3">
        <v>-1.7158365954017367</v>
      </c>
      <c r="G103" s="3">
        <v>1.0708613583921764</v>
      </c>
      <c r="H103" s="3">
        <v>0.32344821194423962</v>
      </c>
      <c r="I103" s="2">
        <f t="shared" si="2"/>
        <v>0.69715478516820806</v>
      </c>
      <c r="J103" s="2">
        <v>-0.15212559312560492</v>
      </c>
      <c r="K103" s="2">
        <f t="shared" si="3"/>
        <v>8.5661309409317349E-2</v>
      </c>
      <c r="L103" s="2">
        <v>-0.42478719647879098</v>
      </c>
      <c r="M103" s="2">
        <v>-0.54216283949106348</v>
      </c>
      <c r="N103" s="2">
        <v>-0.32311294900152471</v>
      </c>
      <c r="O103" s="2">
        <v>-0.37212492353733012</v>
      </c>
      <c r="P103" s="2">
        <v>-0.56180458496260621</v>
      </c>
      <c r="Q103" s="2">
        <v>-0.56180458496260677</v>
      </c>
      <c r="R103" s="2">
        <v>-1.7948066335496273</v>
      </c>
      <c r="S103" s="2">
        <v>-0.35600364933914203</v>
      </c>
      <c r="T103" s="2">
        <v>3.8769634715964903E-2</v>
      </c>
      <c r="U103" s="2">
        <v>-0.77598782740487526</v>
      </c>
      <c r="V103" s="2">
        <v>1.7</v>
      </c>
      <c r="W103" s="2">
        <v>2</v>
      </c>
      <c r="X103" s="2">
        <v>55.8</v>
      </c>
      <c r="Y103" s="2">
        <v>19.8</v>
      </c>
      <c r="Z103" s="2">
        <v>49.2</v>
      </c>
      <c r="AA103" s="2">
        <v>22</v>
      </c>
      <c r="AB103" s="2">
        <v>102</v>
      </c>
      <c r="AC103" s="2">
        <v>113</v>
      </c>
      <c r="AD103" s="2">
        <v>17000</v>
      </c>
      <c r="AE103" s="2">
        <v>18833.333333333332</v>
      </c>
      <c r="AF103" s="2">
        <v>112</v>
      </c>
      <c r="AG103" s="2">
        <v>55</v>
      </c>
      <c r="AH103" s="2">
        <v>11.7</v>
      </c>
      <c r="AI103" s="2">
        <v>18666.666666666668</v>
      </c>
      <c r="AJ103" s="2">
        <v>9166.6666666666661</v>
      </c>
      <c r="AK103" s="2">
        <v>1950</v>
      </c>
      <c r="AL103" s="2">
        <v>108</v>
      </c>
      <c r="AM103" s="2">
        <v>47</v>
      </c>
      <c r="AN103" s="2">
        <v>9.41</v>
      </c>
      <c r="AO103" s="2">
        <v>18000</v>
      </c>
      <c r="AP103" s="2">
        <v>7833.333333333333</v>
      </c>
      <c r="AQ103" s="2">
        <v>1568.3333333333333</v>
      </c>
      <c r="AR103" s="2">
        <v>9166.6666666666661</v>
      </c>
      <c r="AS103" s="2">
        <v>7833.333333333333</v>
      </c>
    </row>
    <row r="104" spans="1:45" x14ac:dyDescent="0.25">
      <c r="A104" t="s">
        <v>70</v>
      </c>
      <c r="B104" s="3">
        <v>-0.59847088123247405</v>
      </c>
      <c r="C104" s="3">
        <v>-0.60334876318427022</v>
      </c>
      <c r="D104" s="3">
        <v>-0.765908193186979</v>
      </c>
      <c r="E104" s="3">
        <v>-0.89376597022433413</v>
      </c>
      <c r="F104" s="3">
        <v>-0.89442140322225161</v>
      </c>
      <c r="G104" s="3">
        <v>0.74249895660509146</v>
      </c>
      <c r="H104" s="3">
        <v>-0.11455457506358117</v>
      </c>
      <c r="I104" s="2">
        <f t="shared" si="2"/>
        <v>0.31397219077075517</v>
      </c>
      <c r="J104" s="2">
        <v>-0.66474143738312919</v>
      </c>
      <c r="K104" s="2">
        <f t="shared" si="3"/>
        <v>-0.38964800622335516</v>
      </c>
      <c r="L104" s="2">
        <v>-0.6941052652480767</v>
      </c>
      <c r="M104" s="2">
        <v>6.1961467370409633E-2</v>
      </c>
      <c r="N104" s="2">
        <v>-0.28583150355937176</v>
      </c>
      <c r="O104" s="2">
        <v>-0.37888858949364718</v>
      </c>
      <c r="P104" s="2">
        <v>-0.58413932381433076</v>
      </c>
      <c r="Q104" s="2">
        <v>-0.5841393238143312</v>
      </c>
      <c r="R104" s="2">
        <v>-0.88053590814476679</v>
      </c>
      <c r="S104" s="2">
        <v>-0.32853831458598104</v>
      </c>
      <c r="T104" s="2">
        <v>-1.3112444312863623</v>
      </c>
      <c r="U104" s="2">
        <v>0.2675820094499583</v>
      </c>
      <c r="V104" s="2">
        <v>1.95</v>
      </c>
      <c r="W104" s="2">
        <v>1.9</v>
      </c>
      <c r="X104" s="2">
        <v>57.6</v>
      </c>
      <c r="Y104" s="2">
        <v>19.2</v>
      </c>
      <c r="Z104" s="2">
        <v>54</v>
      </c>
      <c r="AA104" s="2">
        <v>16.399999999999999</v>
      </c>
      <c r="AB104" s="2">
        <v>72</v>
      </c>
      <c r="AC104" s="2">
        <v>85</v>
      </c>
      <c r="AD104" s="2">
        <v>12000</v>
      </c>
      <c r="AE104" s="2">
        <v>14166.666666666666</v>
      </c>
      <c r="AF104" s="2">
        <v>73</v>
      </c>
      <c r="AG104" s="2">
        <v>54</v>
      </c>
      <c r="AH104" s="2">
        <v>15.84</v>
      </c>
      <c r="AI104" s="2">
        <v>12166.666666666666</v>
      </c>
      <c r="AJ104" s="2">
        <v>9000</v>
      </c>
      <c r="AK104" s="2">
        <v>2640</v>
      </c>
      <c r="AL104" s="2">
        <v>81</v>
      </c>
      <c r="AM104" s="2">
        <v>54</v>
      </c>
      <c r="AN104" s="2">
        <v>13.52</v>
      </c>
      <c r="AO104" s="2">
        <v>13500</v>
      </c>
      <c r="AP104" s="2">
        <v>9000</v>
      </c>
      <c r="AQ104" s="2">
        <v>2253.3333333333335</v>
      </c>
      <c r="AR104" s="2">
        <v>9000</v>
      </c>
      <c r="AS104" s="2">
        <v>9000</v>
      </c>
    </row>
    <row r="105" spans="1:45" x14ac:dyDescent="0.25">
      <c r="A105" t="s">
        <v>70</v>
      </c>
      <c r="B105" s="3">
        <v>-0.65550689415809615</v>
      </c>
      <c r="C105" s="3">
        <v>-0.63487457449053797</v>
      </c>
      <c r="D105" s="3">
        <v>-0.86517607827499587</v>
      </c>
      <c r="E105" s="3">
        <v>-0.92707738261647565</v>
      </c>
      <c r="F105" s="3">
        <v>-0.86632727872082482</v>
      </c>
      <c r="G105" s="3">
        <v>0.74249895660509146</v>
      </c>
      <c r="H105" s="3">
        <v>-0.11455457506358117</v>
      </c>
      <c r="I105" s="2">
        <f t="shared" si="2"/>
        <v>0.31397219077075517</v>
      </c>
      <c r="J105" s="2">
        <v>-0.66474143738312919</v>
      </c>
      <c r="K105" s="2">
        <f t="shared" si="3"/>
        <v>-0.38964800622335516</v>
      </c>
      <c r="L105" s="2">
        <v>-0.6941052652480767</v>
      </c>
      <c r="M105" s="2">
        <v>6.1961467370409633E-2</v>
      </c>
      <c r="N105" s="2">
        <v>-0.31520391649437685</v>
      </c>
      <c r="O105" s="2">
        <v>-0.27547458465930413</v>
      </c>
      <c r="P105" s="2">
        <v>-0.58413932381433076</v>
      </c>
      <c r="Q105" s="2">
        <v>-0.5841393238143312</v>
      </c>
      <c r="R105" s="2">
        <v>-0.88053590814476679</v>
      </c>
      <c r="S105" s="2">
        <v>-0.35170811139754993</v>
      </c>
      <c r="T105" s="2">
        <v>-1.3112444312863623</v>
      </c>
      <c r="U105" s="2">
        <v>0.2675820094499583</v>
      </c>
      <c r="V105" s="2">
        <v>2.25</v>
      </c>
      <c r="W105" s="2">
        <v>1.8</v>
      </c>
      <c r="X105" s="2">
        <v>57.6</v>
      </c>
      <c r="Y105" s="2">
        <v>19.2</v>
      </c>
      <c r="Z105" s="2">
        <v>54</v>
      </c>
      <c r="AA105" s="2">
        <v>16.399999999999999</v>
      </c>
      <c r="AB105" s="2">
        <v>72</v>
      </c>
      <c r="AC105" s="2">
        <v>85</v>
      </c>
      <c r="AD105" s="2">
        <v>12000</v>
      </c>
      <c r="AE105" s="2">
        <v>14166.666666666666</v>
      </c>
      <c r="AF105" s="2">
        <v>73</v>
      </c>
      <c r="AG105" s="2">
        <v>54</v>
      </c>
      <c r="AH105" s="2">
        <v>15.84</v>
      </c>
      <c r="AI105" s="2">
        <v>12166.666666666666</v>
      </c>
      <c r="AJ105" s="2">
        <v>9000</v>
      </c>
      <c r="AK105" s="2">
        <v>2640</v>
      </c>
      <c r="AL105" s="2">
        <v>81</v>
      </c>
      <c r="AM105" s="2">
        <v>54</v>
      </c>
      <c r="AN105" s="2">
        <v>13.52</v>
      </c>
      <c r="AO105" s="2">
        <v>13500</v>
      </c>
      <c r="AP105" s="2">
        <v>9000</v>
      </c>
      <c r="AQ105" s="2">
        <v>2253.3333333333335</v>
      </c>
      <c r="AR105" s="2">
        <v>9000</v>
      </c>
      <c r="AS105" s="2">
        <v>9000</v>
      </c>
    </row>
    <row r="106" spans="1:45" x14ac:dyDescent="0.25">
      <c r="A106" t="s">
        <v>70</v>
      </c>
      <c r="B106" s="3">
        <v>-0.66770517518920491</v>
      </c>
      <c r="C106" s="3">
        <v>-0.63755890930273051</v>
      </c>
      <c r="D106" s="3">
        <v>-0.87249339298284678</v>
      </c>
      <c r="E106" s="3">
        <v>-0.93297864491719129</v>
      </c>
      <c r="F106" s="3">
        <v>-0.77881101443046652</v>
      </c>
      <c r="G106" s="3">
        <v>0.74249895660509146</v>
      </c>
      <c r="H106" s="3">
        <v>-0.11455457506358117</v>
      </c>
      <c r="I106" s="2">
        <f t="shared" si="2"/>
        <v>0.31397219077075517</v>
      </c>
      <c r="J106" s="2">
        <v>-0.66474143738312919</v>
      </c>
      <c r="K106" s="2">
        <f t="shared" si="3"/>
        <v>-0.38964800622335516</v>
      </c>
      <c r="L106" s="2">
        <v>-0.6941052652480767</v>
      </c>
      <c r="M106" s="2">
        <v>6.1961467370409633E-2</v>
      </c>
      <c r="N106" s="2">
        <v>-0.1960641291962068</v>
      </c>
      <c r="O106" s="2">
        <v>-0.1770745921805654</v>
      </c>
      <c r="P106" s="2">
        <v>-0.58413932381433076</v>
      </c>
      <c r="Q106" s="2">
        <v>-0.5841393238143312</v>
      </c>
      <c r="R106" s="2">
        <v>-0.88053590814476679</v>
      </c>
      <c r="S106" s="2">
        <v>-0.25772725017309533</v>
      </c>
      <c r="T106" s="2">
        <v>-1.3112444312863623</v>
      </c>
      <c r="U106" s="2">
        <v>0.2675820094499583</v>
      </c>
      <c r="V106" s="2">
        <v>2</v>
      </c>
      <c r="W106" s="2">
        <v>1.95</v>
      </c>
      <c r="X106" s="2">
        <v>57.6</v>
      </c>
      <c r="Y106" s="2">
        <v>19.2</v>
      </c>
      <c r="Z106" s="2">
        <v>54</v>
      </c>
      <c r="AA106" s="2">
        <v>16.399999999999999</v>
      </c>
      <c r="AB106" s="2">
        <v>72</v>
      </c>
      <c r="AC106" s="2">
        <v>85</v>
      </c>
      <c r="AD106" s="2">
        <v>12000</v>
      </c>
      <c r="AE106" s="2">
        <v>14166.666666666666</v>
      </c>
      <c r="AF106" s="2">
        <v>73</v>
      </c>
      <c r="AG106" s="2">
        <v>54</v>
      </c>
      <c r="AH106" s="2">
        <v>15.84</v>
      </c>
      <c r="AI106" s="2">
        <v>12166.666666666666</v>
      </c>
      <c r="AJ106" s="2">
        <v>9000</v>
      </c>
      <c r="AK106" s="2">
        <v>2640</v>
      </c>
      <c r="AL106" s="2">
        <v>81</v>
      </c>
      <c r="AM106" s="2">
        <v>54</v>
      </c>
      <c r="AN106" s="2">
        <v>13.52</v>
      </c>
      <c r="AO106" s="2">
        <v>13500</v>
      </c>
      <c r="AP106" s="2">
        <v>9000</v>
      </c>
      <c r="AQ106" s="2">
        <v>2253.3333333333335</v>
      </c>
      <c r="AR106" s="2">
        <v>9000</v>
      </c>
      <c r="AS106" s="2">
        <v>9000</v>
      </c>
    </row>
    <row r="107" spans="1:45" x14ac:dyDescent="0.25">
      <c r="A107" t="s">
        <v>70</v>
      </c>
      <c r="B107" s="3">
        <v>-0.47841297115634762</v>
      </c>
      <c r="C107" s="3">
        <v>-0.41425620780813993</v>
      </c>
      <c r="D107" s="3">
        <v>-0.59305686083623055</v>
      </c>
      <c r="E107" s="3">
        <v>0.98775419257901431</v>
      </c>
      <c r="F107" s="3">
        <v>-0.70771864439360987</v>
      </c>
      <c r="G107" s="3">
        <v>0.74249895660509146</v>
      </c>
      <c r="H107" s="3">
        <v>-0.41628982833563549</v>
      </c>
      <c r="I107" s="2">
        <f t="shared" si="2"/>
        <v>0.16310456413472799</v>
      </c>
      <c r="J107" s="2">
        <v>-1.4882882035673486</v>
      </c>
      <c r="K107" s="2">
        <f t="shared" si="3"/>
        <v>-0.95228901595149207</v>
      </c>
      <c r="L107" s="2">
        <v>-1.3783187372565322</v>
      </c>
      <c r="M107" s="2">
        <v>-1.3522386146007661</v>
      </c>
      <c r="N107" s="2">
        <v>-0.15950813458713151</v>
      </c>
      <c r="O107" s="2">
        <v>-0.18613852302295825</v>
      </c>
      <c r="P107" s="2">
        <v>-0.3607919352970867</v>
      </c>
      <c r="Q107" s="2">
        <v>-0.3607919352970872</v>
      </c>
      <c r="R107" s="2">
        <v>-0.90283519413025126</v>
      </c>
      <c r="S107" s="2">
        <v>-0.20113131249202729</v>
      </c>
      <c r="T107" s="2">
        <v>-0.77123880488543151</v>
      </c>
      <c r="U107" s="2">
        <v>-0.34116706204869518</v>
      </c>
      <c r="V107" s="2">
        <v>1.95</v>
      </c>
      <c r="W107" s="2">
        <v>2</v>
      </c>
      <c r="X107" s="2">
        <v>55.6</v>
      </c>
      <c r="Y107" s="2">
        <v>20.399999999999999</v>
      </c>
      <c r="Z107" s="2">
        <v>52.2</v>
      </c>
      <c r="AA107" s="2">
        <v>22.8</v>
      </c>
      <c r="AB107" s="2">
        <v>95</v>
      </c>
      <c r="AC107" s="2">
        <v>93</v>
      </c>
      <c r="AD107" s="2">
        <v>15833.333333333334</v>
      </c>
      <c r="AE107" s="2">
        <v>15500</v>
      </c>
      <c r="AF107" s="2">
        <v>77</v>
      </c>
      <c r="AG107" s="2">
        <v>25</v>
      </c>
      <c r="AH107" s="2">
        <v>6.77</v>
      </c>
      <c r="AI107" s="2">
        <v>12833.333333333334</v>
      </c>
      <c r="AJ107" s="2">
        <v>4166.666666666667</v>
      </c>
      <c r="AK107" s="2">
        <v>1128.3333333333333</v>
      </c>
      <c r="AL107" s="2">
        <v>90</v>
      </c>
      <c r="AM107" s="2">
        <v>36</v>
      </c>
      <c r="AN107" s="2">
        <v>7.01</v>
      </c>
      <c r="AO107" s="2">
        <v>15000</v>
      </c>
      <c r="AP107" s="2">
        <v>6000</v>
      </c>
      <c r="AQ107" s="2">
        <v>1168.3333333333333</v>
      </c>
      <c r="AR107" s="2">
        <v>4166.666666666667</v>
      </c>
      <c r="AS107" s="2">
        <v>6000</v>
      </c>
    </row>
    <row r="108" spans="1:45" x14ac:dyDescent="0.25">
      <c r="A108" t="s">
        <v>70</v>
      </c>
      <c r="B108" s="3">
        <v>2.0928904159067554</v>
      </c>
      <c r="C108" s="3">
        <v>-0.22934266379266396</v>
      </c>
      <c r="D108" s="3">
        <v>2.0065038577541743</v>
      </c>
      <c r="E108" s="3">
        <v>9.9388595006743435E-2</v>
      </c>
      <c r="F108" s="3">
        <v>-0.84243481137941534</v>
      </c>
      <c r="G108" s="3">
        <v>0.74249895660509146</v>
      </c>
      <c r="H108" s="3">
        <v>-0.41628982833563549</v>
      </c>
      <c r="I108" s="2">
        <f t="shared" si="2"/>
        <v>0.16310456413472799</v>
      </c>
      <c r="J108" s="2">
        <v>-1.4882882035673486</v>
      </c>
      <c r="K108" s="2">
        <f t="shared" si="3"/>
        <v>-0.95228901595149207</v>
      </c>
      <c r="L108" s="2">
        <v>-1.3783187372565322</v>
      </c>
      <c r="M108" s="2">
        <v>-1.3522386146007661</v>
      </c>
      <c r="N108" s="2">
        <v>-0.22716181529924689</v>
      </c>
      <c r="O108" s="2">
        <v>-0.24601707148124433</v>
      </c>
      <c r="P108" s="2">
        <v>-0.3607919352970867</v>
      </c>
      <c r="Q108" s="2">
        <v>-0.3607919352970872</v>
      </c>
      <c r="R108" s="2">
        <v>-0.90283519413025126</v>
      </c>
      <c r="S108" s="2">
        <v>-0.25794150691697981</v>
      </c>
      <c r="T108" s="2">
        <v>-0.77123880488543151</v>
      </c>
      <c r="U108" s="2">
        <v>-0.34116706204869518</v>
      </c>
      <c r="V108" s="2">
        <v>1.85</v>
      </c>
      <c r="W108" s="2">
        <v>1.9</v>
      </c>
      <c r="X108" s="2">
        <v>55.6</v>
      </c>
      <c r="Y108" s="2">
        <v>20.399999999999999</v>
      </c>
      <c r="Z108" s="2">
        <v>52.2</v>
      </c>
      <c r="AA108" s="2">
        <v>22.8</v>
      </c>
      <c r="AB108" s="2">
        <v>95</v>
      </c>
      <c r="AC108" s="2">
        <v>93</v>
      </c>
      <c r="AD108" s="2">
        <v>15833.333333333334</v>
      </c>
      <c r="AE108" s="2">
        <v>15500</v>
      </c>
      <c r="AF108" s="2">
        <v>77</v>
      </c>
      <c r="AG108" s="2">
        <v>25</v>
      </c>
      <c r="AH108" s="2">
        <v>6.77</v>
      </c>
      <c r="AI108" s="2">
        <v>12833.333333333334</v>
      </c>
      <c r="AJ108" s="2">
        <v>4166.666666666667</v>
      </c>
      <c r="AK108" s="2">
        <v>1128.3333333333333</v>
      </c>
      <c r="AL108" s="2">
        <v>90</v>
      </c>
      <c r="AM108" s="2">
        <v>36</v>
      </c>
      <c r="AN108" s="2">
        <v>7.01</v>
      </c>
      <c r="AO108" s="2">
        <v>15000</v>
      </c>
      <c r="AP108" s="2">
        <v>6000</v>
      </c>
      <c r="AQ108" s="2">
        <v>1168.3333333333333</v>
      </c>
      <c r="AR108" s="2">
        <v>4166.666666666667</v>
      </c>
      <c r="AS108" s="2">
        <v>6000</v>
      </c>
    </row>
    <row r="109" spans="1:45" x14ac:dyDescent="0.25">
      <c r="A109" t="s">
        <v>70</v>
      </c>
      <c r="B109" s="3">
        <v>4.4856294472017852</v>
      </c>
      <c r="C109" s="3">
        <v>4.396556610752576</v>
      </c>
      <c r="D109" s="3">
        <v>2.9078838435036869</v>
      </c>
      <c r="E109" s="3">
        <v>3.1530982246592427</v>
      </c>
      <c r="F109" s="3">
        <v>-0.79559442127088054</v>
      </c>
      <c r="G109" s="3">
        <v>0.74249895660509146</v>
      </c>
      <c r="H109" s="3">
        <v>-0.41628982833563549</v>
      </c>
      <c r="I109" s="2">
        <f t="shared" si="2"/>
        <v>0.16310456413472799</v>
      </c>
      <c r="J109" s="2">
        <v>-1.4882882035673486</v>
      </c>
      <c r="K109" s="2">
        <f t="shared" si="3"/>
        <v>-0.95228901595149207</v>
      </c>
      <c r="L109" s="2">
        <v>-1.3783187372565322</v>
      </c>
      <c r="M109" s="2">
        <v>-1.3522386146007661</v>
      </c>
      <c r="N109" s="2">
        <v>-0.22488500873681999</v>
      </c>
      <c r="O109" s="2">
        <v>-0.25508957882340827</v>
      </c>
      <c r="P109" s="2">
        <v>-0.3607919352970867</v>
      </c>
      <c r="Q109" s="2">
        <v>-0.3607919352970872</v>
      </c>
      <c r="R109" s="2">
        <v>-0.90283519413025126</v>
      </c>
      <c r="S109" s="2">
        <v>-0.25602962537383261</v>
      </c>
      <c r="T109" s="2">
        <v>-0.77123880488543151</v>
      </c>
      <c r="U109" s="2">
        <v>-0.34116706204869518</v>
      </c>
      <c r="V109" s="2">
        <v>1.77</v>
      </c>
      <c r="W109" s="2">
        <v>2</v>
      </c>
      <c r="X109" s="2">
        <v>55.6</v>
      </c>
      <c r="Y109" s="2">
        <v>20.399999999999999</v>
      </c>
      <c r="Z109" s="2">
        <v>52.2</v>
      </c>
      <c r="AA109" s="2">
        <v>22.8</v>
      </c>
      <c r="AB109" s="2">
        <v>95</v>
      </c>
      <c r="AC109" s="2">
        <v>93</v>
      </c>
      <c r="AD109" s="2">
        <v>15833.333333333334</v>
      </c>
      <c r="AE109" s="2">
        <v>15500</v>
      </c>
      <c r="AF109" s="2">
        <v>77</v>
      </c>
      <c r="AG109" s="2">
        <v>25</v>
      </c>
      <c r="AH109" s="2">
        <v>6.77</v>
      </c>
      <c r="AI109" s="2">
        <v>12833.333333333334</v>
      </c>
      <c r="AJ109" s="2">
        <v>4166.666666666667</v>
      </c>
      <c r="AK109" s="2">
        <v>1128.3333333333333</v>
      </c>
      <c r="AL109" s="2">
        <v>90</v>
      </c>
      <c r="AM109" s="2">
        <v>36</v>
      </c>
      <c r="AN109" s="2">
        <v>7.01</v>
      </c>
      <c r="AO109" s="2">
        <v>15000</v>
      </c>
      <c r="AP109" s="2">
        <v>6000</v>
      </c>
      <c r="AQ109" s="2">
        <v>1168.3333333333333</v>
      </c>
      <c r="AR109" s="2">
        <v>4166.666666666667</v>
      </c>
      <c r="AS109" s="2">
        <v>6000</v>
      </c>
    </row>
    <row r="110" spans="1:45" x14ac:dyDescent="0.25">
      <c r="A110" t="s">
        <v>71</v>
      </c>
      <c r="B110" s="3">
        <v>-0.62674295928154466</v>
      </c>
      <c r="C110" s="3">
        <v>-0.35178825614937076</v>
      </c>
      <c r="D110" s="3">
        <v>-0.71775451466967055</v>
      </c>
      <c r="E110" s="3">
        <v>-0.38002468808507345</v>
      </c>
      <c r="F110" s="3">
        <v>-0.82934392586819738</v>
      </c>
      <c r="G110" s="3">
        <v>-1.1250622035589548</v>
      </c>
      <c r="H110" s="3">
        <v>-0.57202415260508288</v>
      </c>
      <c r="I110" s="2">
        <f t="shared" si="2"/>
        <v>-0.84854317808201885</v>
      </c>
      <c r="J110" s="2">
        <v>-0.15212559312560492</v>
      </c>
      <c r="K110" s="2">
        <f t="shared" si="3"/>
        <v>-0.3620748728653439</v>
      </c>
      <c r="L110" s="2">
        <v>-0.39567172958481417</v>
      </c>
      <c r="M110" s="2">
        <v>-0.4529172032501641</v>
      </c>
      <c r="N110" s="2">
        <v>-0.25843925329413941</v>
      </c>
      <c r="O110" s="2">
        <v>-0.21844019411430318</v>
      </c>
      <c r="P110" s="2">
        <v>-1.879554177214348</v>
      </c>
      <c r="Q110" s="2">
        <v>-1.879554177214348</v>
      </c>
      <c r="R110" s="2">
        <v>-0.92513448011573562</v>
      </c>
      <c r="S110" s="2">
        <v>-0.43873383463021742</v>
      </c>
      <c r="T110" s="2">
        <v>-0.39323486640477956</v>
      </c>
      <c r="U110" s="2">
        <v>-0.86295198047611155</v>
      </c>
      <c r="V110" s="2">
        <v>1.7</v>
      </c>
      <c r="W110" s="2">
        <v>2</v>
      </c>
      <c r="X110" s="2">
        <v>57</v>
      </c>
      <c r="Y110" s="2">
        <v>17</v>
      </c>
      <c r="Z110" s="2">
        <v>55.6</v>
      </c>
      <c r="AA110" s="2">
        <v>18.399999999999999</v>
      </c>
      <c r="AB110" s="2">
        <v>53</v>
      </c>
      <c r="AC110" s="2">
        <v>69</v>
      </c>
      <c r="AD110" s="2">
        <v>8833.3333333333339</v>
      </c>
      <c r="AE110" s="2">
        <v>11500</v>
      </c>
      <c r="AF110" s="2">
        <v>51</v>
      </c>
      <c r="AG110" s="2">
        <v>25</v>
      </c>
      <c r="AH110" s="2">
        <v>6.3</v>
      </c>
      <c r="AI110" s="2">
        <v>8500</v>
      </c>
      <c r="AJ110" s="2">
        <v>4166.666666666667</v>
      </c>
      <c r="AK110" s="2">
        <v>1050</v>
      </c>
      <c r="AL110" s="2">
        <v>64</v>
      </c>
      <c r="AM110" s="2">
        <v>35</v>
      </c>
      <c r="AN110" s="2">
        <v>9.6999999999999993</v>
      </c>
      <c r="AO110" s="2">
        <v>10666.666666666666</v>
      </c>
      <c r="AP110" s="2">
        <v>5833.333333333333</v>
      </c>
      <c r="AQ110" s="2">
        <v>1616.6666666666667</v>
      </c>
      <c r="AR110" s="2">
        <v>4166.666666666667</v>
      </c>
      <c r="AS110" s="2">
        <v>5833.333333333333</v>
      </c>
    </row>
    <row r="111" spans="1:45" x14ac:dyDescent="0.25">
      <c r="A111" t="s">
        <v>71</v>
      </c>
      <c r="B111" s="3">
        <v>-0.39698686416957718</v>
      </c>
      <c r="C111" s="3">
        <v>0.21320655617492587</v>
      </c>
      <c r="D111" s="3">
        <v>-0.52901687206104953</v>
      </c>
      <c r="E111" s="3">
        <v>0.84940650678510554</v>
      </c>
      <c r="F111" s="3">
        <v>-0.93955935046018324</v>
      </c>
      <c r="G111" s="3">
        <v>-1.1250622035589548</v>
      </c>
      <c r="H111" s="3">
        <v>-0.57202415260508288</v>
      </c>
      <c r="I111" s="2">
        <f t="shared" si="2"/>
        <v>-0.84854317808201885</v>
      </c>
      <c r="J111" s="2">
        <v>-0.15212559312560492</v>
      </c>
      <c r="K111" s="2">
        <f t="shared" si="3"/>
        <v>-0.3620748728653439</v>
      </c>
      <c r="L111" s="2">
        <v>-0.39567172958481417</v>
      </c>
      <c r="M111" s="2">
        <v>-0.4529172032501641</v>
      </c>
      <c r="N111" s="2">
        <v>-0.2452381688289697</v>
      </c>
      <c r="O111" s="2">
        <v>-0.21781344256985319</v>
      </c>
      <c r="P111" s="2">
        <v>-1.879554177214348</v>
      </c>
      <c r="Q111" s="2">
        <v>-1.879554177214348</v>
      </c>
      <c r="R111" s="2">
        <v>-0.92513448011573562</v>
      </c>
      <c r="S111" s="2">
        <v>-0.43221706684269368</v>
      </c>
      <c r="T111" s="2">
        <v>-0.39323486640477956</v>
      </c>
      <c r="U111" s="2">
        <v>-0.86295198047611155</v>
      </c>
      <c r="V111" s="2">
        <v>1.74</v>
      </c>
      <c r="W111" s="2">
        <v>2.2000000000000002</v>
      </c>
      <c r="X111" s="2">
        <v>57</v>
      </c>
      <c r="Y111" s="2">
        <v>17</v>
      </c>
      <c r="Z111" s="2">
        <v>55.6</v>
      </c>
      <c r="AA111" s="2">
        <v>18.399999999999999</v>
      </c>
      <c r="AB111" s="2">
        <v>53</v>
      </c>
      <c r="AC111" s="2">
        <v>69</v>
      </c>
      <c r="AD111" s="2">
        <v>8833.3333333333339</v>
      </c>
      <c r="AE111" s="2">
        <v>11500</v>
      </c>
      <c r="AF111" s="2">
        <v>51</v>
      </c>
      <c r="AG111" s="2">
        <v>25</v>
      </c>
      <c r="AH111" s="2">
        <v>6.3</v>
      </c>
      <c r="AI111" s="2">
        <v>8500</v>
      </c>
      <c r="AJ111" s="2">
        <v>4166.666666666667</v>
      </c>
      <c r="AK111" s="2">
        <v>1050</v>
      </c>
      <c r="AL111" s="2">
        <v>64</v>
      </c>
      <c r="AM111" s="2">
        <v>35</v>
      </c>
      <c r="AN111" s="2">
        <v>9.6999999999999993</v>
      </c>
      <c r="AO111" s="2">
        <v>10666.666666666666</v>
      </c>
      <c r="AP111" s="2">
        <v>5833.333333333333</v>
      </c>
      <c r="AQ111" s="2">
        <v>1616.6666666666667</v>
      </c>
      <c r="AR111" s="2">
        <v>4166.666666666667</v>
      </c>
      <c r="AS111" s="2">
        <v>5833.333333333333</v>
      </c>
    </row>
    <row r="112" spans="1:45" x14ac:dyDescent="0.25">
      <c r="A112" t="s">
        <v>71</v>
      </c>
      <c r="B112" s="3">
        <v>-0.66423836509666945</v>
      </c>
      <c r="C112" s="3">
        <v>-0.11801368046148893</v>
      </c>
      <c r="D112" s="3">
        <v>-0.8607596035549524</v>
      </c>
      <c r="E112" s="3">
        <v>0.23522553376929792</v>
      </c>
      <c r="F112" s="3">
        <v>-0.81665725278168222</v>
      </c>
      <c r="G112" s="3">
        <v>-1.1250622035589548</v>
      </c>
      <c r="H112" s="3">
        <v>-0.57202415260508288</v>
      </c>
      <c r="I112" s="2">
        <f t="shared" si="2"/>
        <v>-0.84854317808201885</v>
      </c>
      <c r="J112" s="2">
        <v>-0.15212559312560492</v>
      </c>
      <c r="K112" s="2">
        <f t="shared" si="3"/>
        <v>-0.3620748728653439</v>
      </c>
      <c r="L112" s="2">
        <v>-0.39567172958481417</v>
      </c>
      <c r="M112" s="2">
        <v>-0.4529172032501641</v>
      </c>
      <c r="N112" s="2">
        <v>-0.23665746392660886</v>
      </c>
      <c r="O112" s="2">
        <v>-0.20496503590861587</v>
      </c>
      <c r="P112" s="2">
        <v>-1.879554177214348</v>
      </c>
      <c r="Q112" s="2">
        <v>-1.879554177214348</v>
      </c>
      <c r="R112" s="2">
        <v>-0.92513448011573562</v>
      </c>
      <c r="S112" s="2">
        <v>-0.42798116778080353</v>
      </c>
      <c r="T112" s="2">
        <v>-0.39323486640477956</v>
      </c>
      <c r="U112" s="2">
        <v>-0.86295198047611155</v>
      </c>
      <c r="V112" s="2">
        <v>1.8</v>
      </c>
      <c r="W112" s="2">
        <v>1.9</v>
      </c>
      <c r="X112" s="2">
        <v>57</v>
      </c>
      <c r="Y112" s="2">
        <v>17</v>
      </c>
      <c r="Z112" s="2">
        <v>55.6</v>
      </c>
      <c r="AA112" s="2">
        <v>18.399999999999999</v>
      </c>
      <c r="AB112" s="2">
        <v>53</v>
      </c>
      <c r="AC112" s="2">
        <v>69</v>
      </c>
      <c r="AD112" s="2">
        <v>8833.3333333333339</v>
      </c>
      <c r="AE112" s="2">
        <v>11500</v>
      </c>
      <c r="AF112" s="2">
        <v>51</v>
      </c>
      <c r="AG112" s="2">
        <v>25</v>
      </c>
      <c r="AH112" s="2">
        <v>6.3</v>
      </c>
      <c r="AI112" s="2">
        <v>8500</v>
      </c>
      <c r="AJ112" s="2">
        <v>4166.666666666667</v>
      </c>
      <c r="AK112" s="2">
        <v>1050</v>
      </c>
      <c r="AL112" s="2">
        <v>64</v>
      </c>
      <c r="AM112" s="2">
        <v>35</v>
      </c>
      <c r="AN112" s="2">
        <v>9.6999999999999993</v>
      </c>
      <c r="AO112" s="2">
        <v>10666.666666666666</v>
      </c>
      <c r="AP112" s="2">
        <v>5833.333333333333</v>
      </c>
      <c r="AQ112" s="2">
        <v>1616.6666666666667</v>
      </c>
      <c r="AR112" s="2">
        <v>4166.666666666667</v>
      </c>
      <c r="AS112" s="2">
        <v>5833.333333333333</v>
      </c>
    </row>
    <row r="113" spans="1:45" x14ac:dyDescent="0.25">
      <c r="A113" t="s">
        <v>72</v>
      </c>
      <c r="B113" s="3">
        <v>0.82048345280934309</v>
      </c>
      <c r="C113" s="3">
        <v>-0.311467767686543</v>
      </c>
      <c r="D113" s="3">
        <v>1.2936413319713183</v>
      </c>
      <c r="E113" s="3">
        <v>-6.7880439019815567E-2</v>
      </c>
      <c r="F113" s="3">
        <v>0.48735278432401075</v>
      </c>
      <c r="G113" s="3">
        <v>-1.3918566550109615</v>
      </c>
      <c r="H113" s="3">
        <v>-1.525896888755448</v>
      </c>
      <c r="I113" s="2">
        <f t="shared" si="2"/>
        <v>-1.4588767718832047</v>
      </c>
      <c r="J113" s="2">
        <v>-0.62272374523087315</v>
      </c>
      <c r="K113" s="2">
        <f t="shared" si="3"/>
        <v>-1.0743103169931607</v>
      </c>
      <c r="L113" s="2">
        <v>-0.30832532890288372</v>
      </c>
      <c r="M113" s="2">
        <v>-0.88541528657144597</v>
      </c>
      <c r="N113" s="2">
        <v>-0.27985362431541289</v>
      </c>
      <c r="O113" s="2">
        <v>-0.22454547077145481</v>
      </c>
      <c r="P113" s="2">
        <v>0.71127552958568596</v>
      </c>
      <c r="Q113" s="2">
        <v>0.71127552958568463</v>
      </c>
      <c r="R113" s="2">
        <v>0.54661839492623487</v>
      </c>
      <c r="S113" s="2">
        <v>-0.19834046203164063</v>
      </c>
      <c r="T113" s="2">
        <v>0.25477188527633743</v>
      </c>
      <c r="U113" s="2">
        <v>-1.2108085927610563</v>
      </c>
      <c r="V113" s="2">
        <v>2</v>
      </c>
      <c r="W113" s="2">
        <v>1.96</v>
      </c>
      <c r="X113" s="2">
        <v>52.540000000000006</v>
      </c>
      <c r="Y113" s="2">
        <v>22.6</v>
      </c>
      <c r="Z113" s="2">
        <v>54.2</v>
      </c>
      <c r="AA113" s="2">
        <v>21.8</v>
      </c>
      <c r="AB113" s="2">
        <v>100</v>
      </c>
      <c r="AC113" s="2">
        <v>116</v>
      </c>
      <c r="AD113" s="2">
        <v>16666.666666666668</v>
      </c>
      <c r="AE113" s="2">
        <v>19333.333333333332</v>
      </c>
      <c r="AF113" s="2">
        <v>84</v>
      </c>
      <c r="AG113" s="2">
        <v>55</v>
      </c>
      <c r="AH113" s="2">
        <v>13.1</v>
      </c>
      <c r="AI113" s="2">
        <v>14000</v>
      </c>
      <c r="AJ113" s="2">
        <v>9166.6666666666661</v>
      </c>
      <c r="AK113" s="2">
        <v>2183.3333333333335</v>
      </c>
      <c r="AL113" s="2">
        <v>103</v>
      </c>
      <c r="AM113" s="2">
        <v>12</v>
      </c>
      <c r="AN113" s="2">
        <v>3.9</v>
      </c>
      <c r="AO113" s="2">
        <v>17166.666666666668</v>
      </c>
      <c r="AP113" s="2">
        <v>2000</v>
      </c>
      <c r="AQ113" s="2">
        <v>650</v>
      </c>
      <c r="AR113" s="2">
        <v>9166.6666666666661</v>
      </c>
      <c r="AS113" s="2">
        <v>2000</v>
      </c>
    </row>
    <row r="114" spans="1:45" x14ac:dyDescent="0.25">
      <c r="A114" t="s">
        <v>72</v>
      </c>
      <c r="B114" s="3">
        <v>2.9515287128957679</v>
      </c>
      <c r="C114" s="3">
        <v>-0.13575752236687391</v>
      </c>
      <c r="D114" s="3">
        <v>2.3576553796435591</v>
      </c>
      <c r="E114" s="3">
        <v>0.30616717387689535</v>
      </c>
      <c r="F114" s="3">
        <v>0.48669980943381108</v>
      </c>
      <c r="G114" s="3">
        <v>-1.3918566550109615</v>
      </c>
      <c r="H114" s="3">
        <v>-1.525896888755448</v>
      </c>
      <c r="I114" s="2">
        <f t="shared" si="2"/>
        <v>-1.4588767718832047</v>
      </c>
      <c r="J114" s="2">
        <v>-0.62272374523087315</v>
      </c>
      <c r="K114" s="2">
        <f t="shared" si="3"/>
        <v>-1.0743103169931607</v>
      </c>
      <c r="L114" s="2">
        <v>-0.30832532890288372</v>
      </c>
      <c r="M114" s="2">
        <v>-0.88541528657144597</v>
      </c>
      <c r="N114" s="2">
        <v>-8.014516298253295E-2</v>
      </c>
      <c r="O114" s="2">
        <v>-0.18462643846593133</v>
      </c>
      <c r="P114" s="2">
        <v>0.71127552958568596</v>
      </c>
      <c r="Q114" s="2">
        <v>0.71127552958568463</v>
      </c>
      <c r="R114" s="2">
        <v>0.54661839492623487</v>
      </c>
      <c r="S114" s="2">
        <v>1.8144119765681518E-2</v>
      </c>
      <c r="T114" s="2">
        <v>0.25477188527633743</v>
      </c>
      <c r="U114" s="2">
        <v>-1.2108085927610563</v>
      </c>
      <c r="V114" s="2">
        <v>1.9</v>
      </c>
      <c r="W114" s="2">
        <v>1.87</v>
      </c>
      <c r="X114" s="2">
        <v>52.540000000000006</v>
      </c>
      <c r="Y114" s="2">
        <v>22.6</v>
      </c>
      <c r="Z114" s="2">
        <v>54.2</v>
      </c>
      <c r="AA114" s="2">
        <v>21.8</v>
      </c>
      <c r="AB114" s="2">
        <v>100</v>
      </c>
      <c r="AC114" s="2">
        <v>116</v>
      </c>
      <c r="AD114" s="2">
        <v>16666.666666666668</v>
      </c>
      <c r="AE114" s="2">
        <v>19333.333333333332</v>
      </c>
      <c r="AF114" s="2">
        <v>84</v>
      </c>
      <c r="AG114" s="2">
        <v>55</v>
      </c>
      <c r="AH114" s="2">
        <v>13.1</v>
      </c>
      <c r="AI114" s="2">
        <v>14000</v>
      </c>
      <c r="AJ114" s="2">
        <v>9166.6666666666661</v>
      </c>
      <c r="AK114" s="2">
        <v>2183.3333333333335</v>
      </c>
      <c r="AL114" s="2">
        <v>103</v>
      </c>
      <c r="AM114" s="2">
        <v>12</v>
      </c>
      <c r="AN114" s="2">
        <v>3.9</v>
      </c>
      <c r="AO114" s="2">
        <v>17166.666666666668</v>
      </c>
      <c r="AP114" s="2">
        <v>2000</v>
      </c>
      <c r="AQ114" s="2">
        <v>650</v>
      </c>
      <c r="AR114" s="2">
        <v>9166.6666666666661</v>
      </c>
      <c r="AS114" s="2">
        <v>2000</v>
      </c>
    </row>
    <row r="115" spans="1:45" x14ac:dyDescent="0.25">
      <c r="A115" t="s">
        <v>72</v>
      </c>
      <c r="B115" s="3">
        <v>1.08231683175682E-2</v>
      </c>
      <c r="C115" s="3">
        <v>1.8321523898341529E-2</v>
      </c>
      <c r="D115" s="3">
        <v>0.40586447743730125</v>
      </c>
      <c r="E115" s="3">
        <v>0.59293444616133273</v>
      </c>
      <c r="F115" s="3">
        <v>0.71328745520999404</v>
      </c>
      <c r="G115" s="3">
        <v>-1.3918566550109615</v>
      </c>
      <c r="H115" s="3">
        <v>-1.525896888755448</v>
      </c>
      <c r="I115" s="2">
        <f t="shared" si="2"/>
        <v>-1.4588767718832047</v>
      </c>
      <c r="J115" s="2">
        <v>-0.62272374523087315</v>
      </c>
      <c r="K115" s="2">
        <f t="shared" si="3"/>
        <v>-1.0743103169931607</v>
      </c>
      <c r="L115" s="2">
        <v>-0.30832532890288372</v>
      </c>
      <c r="M115" s="2">
        <v>-0.88541528657144597</v>
      </c>
      <c r="N115" s="2">
        <v>6.1016843887935143E-2</v>
      </c>
      <c r="O115" s="2">
        <v>4.2186245088180488E-2</v>
      </c>
      <c r="P115" s="2">
        <v>0.71127552958568596</v>
      </c>
      <c r="Q115" s="2">
        <v>0.71127552958568463</v>
      </c>
      <c r="R115" s="2">
        <v>0.54661839492623487</v>
      </c>
      <c r="S115" s="2">
        <v>0.17116416618268121</v>
      </c>
      <c r="T115" s="2">
        <v>0.25477188527633743</v>
      </c>
      <c r="U115" s="2">
        <v>-1.2108085927610563</v>
      </c>
      <c r="V115" s="2">
        <v>1.6</v>
      </c>
      <c r="W115" s="2">
        <v>1.91</v>
      </c>
      <c r="X115" s="2">
        <v>52.540000000000006</v>
      </c>
      <c r="Y115" s="2">
        <v>22.6</v>
      </c>
      <c r="Z115" s="2">
        <v>54.2</v>
      </c>
      <c r="AA115" s="2">
        <v>21.8</v>
      </c>
      <c r="AB115" s="2">
        <v>100</v>
      </c>
      <c r="AC115" s="2">
        <v>116</v>
      </c>
      <c r="AD115" s="2">
        <v>16666.666666666668</v>
      </c>
      <c r="AE115" s="2">
        <v>19333.333333333332</v>
      </c>
      <c r="AF115" s="2">
        <v>84</v>
      </c>
      <c r="AG115" s="2">
        <v>55</v>
      </c>
      <c r="AH115" s="2">
        <v>13.1</v>
      </c>
      <c r="AI115" s="2">
        <v>14000</v>
      </c>
      <c r="AJ115" s="2">
        <v>9166.6666666666661</v>
      </c>
      <c r="AK115" s="2">
        <v>2183.3333333333335</v>
      </c>
      <c r="AL115" s="2">
        <v>103</v>
      </c>
      <c r="AM115" s="2">
        <v>12</v>
      </c>
      <c r="AN115" s="2">
        <v>3.9</v>
      </c>
      <c r="AO115" s="2">
        <v>17166.666666666668</v>
      </c>
      <c r="AP115" s="2">
        <v>2000</v>
      </c>
      <c r="AQ115" s="2">
        <v>650</v>
      </c>
      <c r="AR115" s="2">
        <v>9166.6666666666661</v>
      </c>
      <c r="AS115" s="2">
        <v>2000</v>
      </c>
    </row>
    <row r="116" spans="1:45" x14ac:dyDescent="0.25">
      <c r="A116" t="s">
        <v>73</v>
      </c>
      <c r="B116" s="3">
        <v>-0.51381963063834568</v>
      </c>
      <c r="C116" s="3">
        <v>1.9261395313307099</v>
      </c>
      <c r="D116" s="3">
        <v>-0.63495523007941967</v>
      </c>
      <c r="E116" s="3">
        <v>2.2930122194981184</v>
      </c>
      <c r="F116" s="3">
        <v>-0.71162686051572244</v>
      </c>
      <c r="G116" s="3">
        <v>1.9122900129715821</v>
      </c>
      <c r="H116" s="3">
        <v>1.218920576493562</v>
      </c>
      <c r="I116" s="2">
        <f t="shared" si="2"/>
        <v>1.565605294732572</v>
      </c>
      <c r="J116" s="2">
        <v>0.49494686601913884</v>
      </c>
      <c r="K116" s="2">
        <f t="shared" si="3"/>
        <v>0.85693372125635037</v>
      </c>
      <c r="L116" s="2">
        <v>-8.9959327198057479E-2</v>
      </c>
      <c r="M116" s="2">
        <v>-0.51470264372463292</v>
      </c>
      <c r="N116" s="2">
        <v>-0.42147264643900445</v>
      </c>
      <c r="O116" s="2">
        <v>-0.31057267114853571</v>
      </c>
      <c r="P116" s="2">
        <v>-2.5942658204695297</v>
      </c>
      <c r="Q116" s="2">
        <v>-2.5942658204695292</v>
      </c>
      <c r="R116" s="2">
        <v>-0.67984233427540741</v>
      </c>
      <c r="S116" s="2">
        <v>-0.56538419333795131</v>
      </c>
      <c r="T116" s="2">
        <v>-1.3112444312863623</v>
      </c>
      <c r="U116" s="2">
        <v>0.35454616252119453</v>
      </c>
      <c r="V116" s="2">
        <v>1.9</v>
      </c>
      <c r="W116" s="2">
        <v>1.7</v>
      </c>
      <c r="X116" s="2">
        <v>53.2</v>
      </c>
      <c r="Y116" s="2">
        <v>16.2</v>
      </c>
      <c r="Z116" s="2">
        <v>47.4</v>
      </c>
      <c r="AA116" s="2">
        <v>20</v>
      </c>
      <c r="AB116" s="2">
        <v>61</v>
      </c>
      <c r="AC116" s="2">
        <v>118</v>
      </c>
      <c r="AD116" s="2">
        <v>10166.666666666666</v>
      </c>
      <c r="AE116" s="2">
        <v>19666.666666666668</v>
      </c>
      <c r="AF116" s="2">
        <v>74</v>
      </c>
      <c r="AG116" s="2">
        <v>38</v>
      </c>
      <c r="AH116" s="2">
        <v>8.7899999999999991</v>
      </c>
      <c r="AI116" s="2">
        <v>12333.333333333334</v>
      </c>
      <c r="AJ116" s="2">
        <v>6333.333333333333</v>
      </c>
      <c r="AK116" s="2">
        <v>1464.9999999999998</v>
      </c>
      <c r="AL116" s="2">
        <v>88</v>
      </c>
      <c r="AM116" s="2">
        <v>25</v>
      </c>
      <c r="AN116" s="2">
        <v>3.97</v>
      </c>
      <c r="AO116" s="2">
        <v>14666.666666666666</v>
      </c>
      <c r="AP116" s="2">
        <v>4166.666666666667</v>
      </c>
      <c r="AQ116" s="2">
        <v>661.66666666666663</v>
      </c>
      <c r="AR116" s="2">
        <v>6333.333333333333</v>
      </c>
      <c r="AS116" s="2">
        <v>4166.666666666667</v>
      </c>
    </row>
    <row r="117" spans="1:45" x14ac:dyDescent="0.25">
      <c r="A117" t="s">
        <v>73</v>
      </c>
      <c r="B117" s="3">
        <v>-8.4695168045253108E-3</v>
      </c>
      <c r="C117" s="3">
        <v>-0.40620588195304108</v>
      </c>
      <c r="D117" s="3">
        <v>0.36510813984911999</v>
      </c>
      <c r="E117" s="3">
        <v>-0.44439852786656386</v>
      </c>
      <c r="F117" s="3">
        <v>-0.59040387758125146</v>
      </c>
      <c r="G117" s="3">
        <v>1.9122900129715821</v>
      </c>
      <c r="H117" s="3">
        <v>1.218920576493562</v>
      </c>
      <c r="I117" s="2">
        <f t="shared" si="2"/>
        <v>1.565605294732572</v>
      </c>
      <c r="J117" s="2">
        <v>0.49494686601913884</v>
      </c>
      <c r="K117" s="2">
        <f t="shared" si="3"/>
        <v>0.85693372125635037</v>
      </c>
      <c r="L117" s="2">
        <v>-8.9959327198057479E-2</v>
      </c>
      <c r="M117" s="2">
        <v>-0.51470264372463292</v>
      </c>
      <c r="N117" s="2">
        <v>0.77124533498921599</v>
      </c>
      <c r="O117" s="2">
        <v>-0.4472045078387577</v>
      </c>
      <c r="P117" s="2">
        <v>-2.5942658204695297</v>
      </c>
      <c r="Q117" s="2">
        <v>-2.5942658204695292</v>
      </c>
      <c r="R117" s="2">
        <v>-0.67984233427540741</v>
      </c>
      <c r="S117" s="2">
        <v>-0.17083421370723542</v>
      </c>
      <c r="T117" s="2">
        <v>-1.3112444312863623</v>
      </c>
      <c r="U117" s="2">
        <v>0.35454616252119453</v>
      </c>
      <c r="V117" s="2">
        <v>1.8</v>
      </c>
      <c r="W117" s="2">
        <v>1.6</v>
      </c>
      <c r="X117" s="2">
        <v>53.2</v>
      </c>
      <c r="Y117" s="2">
        <v>16.2</v>
      </c>
      <c r="Z117" s="2">
        <v>47.4</v>
      </c>
      <c r="AA117" s="2">
        <v>20</v>
      </c>
      <c r="AB117" s="2">
        <v>61</v>
      </c>
      <c r="AC117" s="2">
        <v>118</v>
      </c>
      <c r="AD117" s="2">
        <v>10166.666666666666</v>
      </c>
      <c r="AE117" s="2">
        <v>19666.666666666668</v>
      </c>
      <c r="AF117" s="2">
        <v>74</v>
      </c>
      <c r="AG117" s="2">
        <v>38</v>
      </c>
      <c r="AH117" s="2">
        <v>8.7899999999999991</v>
      </c>
      <c r="AI117" s="2">
        <v>12333.333333333334</v>
      </c>
      <c r="AJ117" s="2">
        <v>6333.333333333333</v>
      </c>
      <c r="AK117" s="2">
        <v>1464.9999999999998</v>
      </c>
      <c r="AL117" s="2">
        <v>88</v>
      </c>
      <c r="AM117" s="2">
        <v>25</v>
      </c>
      <c r="AN117" s="2">
        <v>3.97</v>
      </c>
      <c r="AO117" s="2">
        <v>14666.666666666666</v>
      </c>
      <c r="AP117" s="2">
        <v>4166.666666666667</v>
      </c>
      <c r="AQ117" s="2">
        <v>661.66666666666663</v>
      </c>
      <c r="AR117" s="2">
        <v>6333.333333333333</v>
      </c>
      <c r="AS117" s="2">
        <v>4166.666666666667</v>
      </c>
    </row>
    <row r="118" spans="1:45" x14ac:dyDescent="0.25">
      <c r="A118" t="s">
        <v>73</v>
      </c>
      <c r="B118" s="3">
        <v>-0.61174123568547933</v>
      </c>
      <c r="C118" s="3">
        <v>-0.51161893094749022</v>
      </c>
      <c r="D118" s="3">
        <v>-0.76539973929489269</v>
      </c>
      <c r="E118" s="3">
        <v>-0.79291066113675712</v>
      </c>
      <c r="F118" s="3">
        <v>-0.59589404690654435</v>
      </c>
      <c r="G118" s="3">
        <v>1.9122900129715821</v>
      </c>
      <c r="H118" s="3">
        <v>1.218920576493562</v>
      </c>
      <c r="I118" s="2">
        <f t="shared" si="2"/>
        <v>1.565605294732572</v>
      </c>
      <c r="J118" s="2">
        <v>0.49494686601913884</v>
      </c>
      <c r="K118" s="2">
        <f t="shared" si="3"/>
        <v>0.85693372125635037</v>
      </c>
      <c r="L118" s="2">
        <v>-8.9959327198057479E-2</v>
      </c>
      <c r="M118" s="2">
        <v>-0.51470264372463292</v>
      </c>
      <c r="N118" s="2">
        <v>-0.34919670899219291</v>
      </c>
      <c r="O118" s="2">
        <v>-0.25980579604804005</v>
      </c>
      <c r="P118" s="2">
        <v>-2.5942658204695297</v>
      </c>
      <c r="Q118" s="2">
        <v>-2.5942658204695292</v>
      </c>
      <c r="R118" s="2">
        <v>-0.67984233427540741</v>
      </c>
      <c r="S118" s="2">
        <v>-0.5414753816226423</v>
      </c>
      <c r="T118" s="2">
        <v>-1.3112444312863623</v>
      </c>
      <c r="U118" s="2">
        <v>0.35454616252119453</v>
      </c>
      <c r="V118" s="2">
        <v>1.75</v>
      </c>
      <c r="W118" s="2">
        <v>1.8</v>
      </c>
      <c r="X118" s="2">
        <v>53.2</v>
      </c>
      <c r="Y118" s="2">
        <v>16.2</v>
      </c>
      <c r="Z118" s="2">
        <v>47.4</v>
      </c>
      <c r="AA118" s="2">
        <v>20</v>
      </c>
      <c r="AB118" s="2">
        <v>61</v>
      </c>
      <c r="AC118" s="2">
        <v>118</v>
      </c>
      <c r="AD118" s="2">
        <v>10166.666666666666</v>
      </c>
      <c r="AE118" s="2">
        <v>19666.666666666668</v>
      </c>
      <c r="AF118" s="2">
        <v>74</v>
      </c>
      <c r="AG118" s="2">
        <v>38</v>
      </c>
      <c r="AH118" s="2">
        <v>8.7899999999999991</v>
      </c>
      <c r="AI118" s="2">
        <v>12333.333333333334</v>
      </c>
      <c r="AJ118" s="2">
        <v>6333.333333333333</v>
      </c>
      <c r="AK118" s="2">
        <v>1464.9999999999998</v>
      </c>
      <c r="AL118" s="2">
        <v>88</v>
      </c>
      <c r="AM118" s="2">
        <v>25</v>
      </c>
      <c r="AN118" s="2">
        <v>3.97</v>
      </c>
      <c r="AO118" s="2">
        <v>14666.666666666666</v>
      </c>
      <c r="AP118" s="2">
        <v>4166.666666666667</v>
      </c>
      <c r="AQ118" s="2">
        <v>661.66666666666663</v>
      </c>
      <c r="AR118" s="2">
        <v>6333.333333333333</v>
      </c>
      <c r="AS118" s="2">
        <v>4166.666666666667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dados_1020</vt:lpstr>
      <vt:lpstr>dados_010</vt:lpstr>
      <vt:lpstr>Planilha2</vt:lpstr>
      <vt:lpstr>Planilha1</vt:lpstr>
      <vt:lpstr>completo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Diego Vidal Santos</cp:lastModifiedBy>
  <dcterms:created xsi:type="dcterms:W3CDTF">2011-08-01T14:22:18Z</dcterms:created>
  <dcterms:modified xsi:type="dcterms:W3CDTF">2025-09-30T19:09:27Z</dcterms:modified>
</cp:coreProperties>
</file>