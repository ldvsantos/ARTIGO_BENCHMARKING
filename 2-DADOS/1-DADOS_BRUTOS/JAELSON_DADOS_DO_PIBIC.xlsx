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1 - ARTIGOS PENDENTES/3 - ARTIGOS OUTROS AUTORES/5  - TCC JAELSON/2 - DADOS/2 - ARTIGO 2/"/>
    </mc:Choice>
  </mc:AlternateContent>
  <xr:revisionPtr revIDLastSave="1739" documentId="11_1766ECE860472639BBA785F6FA680D83C109E9BA" xr6:coauthVersionLast="47" xr6:coauthVersionMax="47" xr10:uidLastSave="{10EBE744-4E10-450E-9968-AF246C924965}"/>
  <bookViews>
    <workbookView xWindow="-120" yWindow="-120" windowWidth="38640" windowHeight="15720" xr2:uid="{00000000-000D-0000-FFFF-FFFF00000000}"/>
  </bookViews>
  <sheets>
    <sheet name="FÓSFORO" sheetId="2" r:id="rId1"/>
    <sheet name="POTÁSSIO" sheetId="5" r:id="rId2"/>
    <sheet name="Na" sheetId="3" r:id="rId3"/>
    <sheet name="pH" sheetId="4" r:id="rId4"/>
    <sheet name="MO" sheetId="6" r:id="rId5"/>
    <sheet name="Planilha1" sheetId="7" r:id="rId6"/>
  </sheets>
  <externalReferences>
    <externalReference r:id="rId7"/>
  </externalReferences>
  <definedNames>
    <definedName name="_xlnm._FilterDatabase" localSheetId="2" hidden="1">Na!$A$1:$B$37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3" i="7"/>
  <c r="P5" i="6"/>
  <c r="W4" i="2"/>
  <c r="T5" i="4"/>
  <c r="P5" i="4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T32" i="6"/>
  <c r="T33" i="6"/>
  <c r="T36" i="6"/>
  <c r="T35" i="6"/>
  <c r="T34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X25" i="4"/>
  <c r="X36" i="4"/>
  <c r="X35" i="4"/>
  <c r="X34" i="4"/>
  <c r="X33" i="4"/>
  <c r="X32" i="4"/>
  <c r="X31" i="4"/>
  <c r="X30" i="4"/>
  <c r="X29" i="4"/>
  <c r="X28" i="4"/>
  <c r="X27" i="4"/>
  <c r="X26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P31" i="4"/>
  <c r="P21" i="4"/>
  <c r="P13" i="4"/>
  <c r="P36" i="4"/>
  <c r="P35" i="4"/>
  <c r="P34" i="4"/>
  <c r="P33" i="4"/>
  <c r="P32" i="4"/>
  <c r="P30" i="4"/>
  <c r="P29" i="4"/>
  <c r="P28" i="4"/>
  <c r="P27" i="4"/>
  <c r="P26" i="4"/>
  <c r="P25" i="4"/>
  <c r="P24" i="4"/>
  <c r="P23" i="4"/>
  <c r="P22" i="4"/>
  <c r="P20" i="4"/>
  <c r="P19" i="4"/>
  <c r="P18" i="4"/>
  <c r="P17" i="4"/>
  <c r="P16" i="4"/>
  <c r="P15" i="4"/>
  <c r="P14" i="4"/>
  <c r="P12" i="4"/>
  <c r="P11" i="4"/>
  <c r="P10" i="4"/>
  <c r="P9" i="4"/>
  <c r="P8" i="4"/>
  <c r="P7" i="4"/>
  <c r="P6" i="4"/>
  <c r="W35" i="3"/>
  <c r="W34" i="3"/>
  <c r="W33" i="3"/>
  <c r="W32" i="3"/>
  <c r="W31" i="3"/>
  <c r="W30" i="3"/>
  <c r="W29" i="3"/>
  <c r="W28" i="3"/>
  <c r="W22" i="3"/>
  <c r="W21" i="3"/>
  <c r="W23" i="3"/>
  <c r="W24" i="3"/>
  <c r="W25" i="3"/>
  <c r="W26" i="3"/>
  <c r="W27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5" i="2"/>
  <c r="S35" i="2"/>
  <c r="O35" i="2"/>
  <c r="W34" i="2"/>
  <c r="S34" i="2"/>
  <c r="O34" i="2"/>
  <c r="W33" i="2"/>
  <c r="S33" i="2"/>
  <c r="O33" i="2"/>
  <c r="W32" i="2"/>
  <c r="S32" i="2"/>
  <c r="O32" i="2"/>
  <c r="W31" i="2"/>
  <c r="S31" i="2"/>
  <c r="O31" i="2"/>
  <c r="W30" i="2"/>
  <c r="S30" i="2"/>
  <c r="O30" i="2"/>
  <c r="W29" i="2"/>
  <c r="S29" i="2"/>
  <c r="O29" i="2"/>
  <c r="W28" i="2"/>
  <c r="S28" i="2"/>
  <c r="O28" i="2"/>
  <c r="W27" i="2"/>
  <c r="S27" i="2"/>
  <c r="O27" i="2"/>
  <c r="W26" i="2"/>
  <c r="S26" i="2"/>
  <c r="O26" i="2"/>
  <c r="W25" i="2"/>
  <c r="S25" i="2"/>
  <c r="O25" i="2"/>
  <c r="W24" i="2"/>
  <c r="S24" i="2"/>
  <c r="O24" i="2"/>
  <c r="W23" i="2"/>
  <c r="S23" i="2"/>
  <c r="O23" i="2"/>
  <c r="W22" i="2"/>
  <c r="S22" i="2"/>
  <c r="O22" i="2"/>
  <c r="W21" i="2"/>
  <c r="S21" i="2"/>
  <c r="O21" i="2"/>
  <c r="W20" i="2"/>
  <c r="S20" i="2"/>
  <c r="O20" i="2"/>
  <c r="W19" i="2"/>
  <c r="S19" i="2"/>
  <c r="O19" i="2"/>
  <c r="W18" i="2"/>
  <c r="S18" i="2"/>
  <c r="O18" i="2"/>
  <c r="W17" i="2"/>
  <c r="S17" i="2"/>
  <c r="O17" i="2"/>
  <c r="W16" i="2"/>
  <c r="S16" i="2"/>
  <c r="O16" i="2"/>
  <c r="W15" i="2"/>
  <c r="S15" i="2"/>
  <c r="O15" i="2"/>
  <c r="W14" i="2"/>
  <c r="S14" i="2"/>
  <c r="O14" i="2"/>
  <c r="W13" i="2"/>
  <c r="S13" i="2"/>
  <c r="O13" i="2"/>
  <c r="W12" i="2"/>
  <c r="S12" i="2"/>
  <c r="O12" i="2"/>
  <c r="W11" i="2"/>
  <c r="S11" i="2"/>
  <c r="O11" i="2"/>
  <c r="W10" i="2"/>
  <c r="S10" i="2"/>
  <c r="O10" i="2"/>
  <c r="W9" i="2"/>
  <c r="S9" i="2"/>
  <c r="O9" i="2"/>
  <c r="W8" i="2"/>
  <c r="S8" i="2"/>
  <c r="O8" i="2"/>
  <c r="W7" i="2"/>
  <c r="S7" i="2"/>
  <c r="O7" i="2"/>
  <c r="W6" i="2"/>
  <c r="S6" i="2"/>
  <c r="O6" i="2"/>
  <c r="W5" i="2"/>
  <c r="S5" i="2"/>
  <c r="O5" i="2"/>
  <c r="S4" i="2"/>
  <c r="O4" i="2"/>
  <c r="V35" i="5"/>
  <c r="R35" i="5"/>
  <c r="N35" i="5"/>
  <c r="V34" i="5"/>
  <c r="R34" i="5"/>
  <c r="N34" i="5"/>
  <c r="V33" i="5"/>
  <c r="R33" i="5"/>
  <c r="N33" i="5"/>
  <c r="V32" i="5"/>
  <c r="R32" i="5"/>
  <c r="N32" i="5"/>
  <c r="V31" i="5"/>
  <c r="R31" i="5"/>
  <c r="N31" i="5"/>
  <c r="V30" i="5"/>
  <c r="R30" i="5"/>
  <c r="N30" i="5"/>
  <c r="V29" i="5"/>
  <c r="R29" i="5"/>
  <c r="N29" i="5"/>
  <c r="V28" i="5"/>
  <c r="R28" i="5"/>
  <c r="N28" i="5"/>
  <c r="V27" i="5"/>
  <c r="R27" i="5"/>
  <c r="N27" i="5"/>
  <c r="V26" i="5"/>
  <c r="R26" i="5"/>
  <c r="N26" i="5"/>
  <c r="V25" i="5"/>
  <c r="R25" i="5"/>
  <c r="N25" i="5"/>
  <c r="V24" i="5"/>
  <c r="R24" i="5"/>
  <c r="N24" i="5"/>
  <c r="V23" i="5"/>
  <c r="R23" i="5"/>
  <c r="N23" i="5"/>
  <c r="V22" i="5"/>
  <c r="R22" i="5"/>
  <c r="N22" i="5"/>
  <c r="V21" i="5"/>
  <c r="R21" i="5"/>
  <c r="N21" i="5"/>
  <c r="V20" i="5"/>
  <c r="R20" i="5"/>
  <c r="N20" i="5"/>
  <c r="V19" i="5"/>
  <c r="R19" i="5"/>
  <c r="N19" i="5"/>
  <c r="V18" i="5"/>
  <c r="R18" i="5"/>
  <c r="N18" i="5"/>
  <c r="V17" i="5"/>
  <c r="R17" i="5"/>
  <c r="N17" i="5"/>
  <c r="V16" i="5"/>
  <c r="R16" i="5"/>
  <c r="N16" i="5"/>
  <c r="V15" i="5"/>
  <c r="R15" i="5"/>
  <c r="N15" i="5"/>
  <c r="V14" i="5"/>
  <c r="R14" i="5"/>
  <c r="N14" i="5"/>
  <c r="V13" i="5"/>
  <c r="R13" i="5"/>
  <c r="N13" i="5"/>
  <c r="V12" i="5"/>
  <c r="R12" i="5"/>
  <c r="N12" i="5"/>
  <c r="V11" i="5"/>
  <c r="R11" i="5"/>
  <c r="N11" i="5"/>
  <c r="V10" i="5"/>
  <c r="R10" i="5"/>
  <c r="N10" i="5"/>
  <c r="V9" i="5"/>
  <c r="R9" i="5"/>
  <c r="N9" i="5"/>
  <c r="V8" i="5"/>
  <c r="R8" i="5"/>
  <c r="N8" i="5"/>
  <c r="V7" i="5"/>
  <c r="R7" i="5"/>
  <c r="N7" i="5"/>
  <c r="V6" i="5"/>
  <c r="R6" i="5"/>
  <c r="N6" i="5"/>
  <c r="V5" i="5"/>
  <c r="R5" i="5"/>
  <c r="N5" i="5"/>
  <c r="V4" i="5"/>
  <c r="R4" i="5"/>
  <c r="N4" i="5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</calcChain>
</file>

<file path=xl/sharedStrings.xml><?xml version="1.0" encoding="utf-8"?>
<sst xmlns="http://schemas.openxmlformats.org/spreadsheetml/2006/main" count="1925" uniqueCount="49">
  <si>
    <t>PROFUNDIDADE</t>
  </si>
  <si>
    <t xml:space="preserve">0 - 5 </t>
  </si>
  <si>
    <t>5 - 10</t>
  </si>
  <si>
    <t>10 - 15</t>
  </si>
  <si>
    <t>15 - 20</t>
  </si>
  <si>
    <t>20 - 25</t>
  </si>
  <si>
    <t>25 -30</t>
  </si>
  <si>
    <t>30 - 35</t>
  </si>
  <si>
    <t>35 - 40</t>
  </si>
  <si>
    <t>SPD</t>
  </si>
  <si>
    <t>CAUPI</t>
  </si>
  <si>
    <t>MILHETO</t>
  </si>
  <si>
    <t>CROTALARIA</t>
  </si>
  <si>
    <t>GUANDU</t>
  </si>
  <si>
    <t>SCM</t>
  </si>
  <si>
    <t>SCC</t>
  </si>
  <si>
    <t>Trat</t>
  </si>
  <si>
    <t>Caupi</t>
  </si>
  <si>
    <t>Crotalária</t>
  </si>
  <si>
    <t>Guadu</t>
  </si>
  <si>
    <t>Milheto</t>
  </si>
  <si>
    <t>Profundidade</t>
  </si>
  <si>
    <t>Sistema</t>
  </si>
  <si>
    <t>P</t>
  </si>
  <si>
    <t>K</t>
  </si>
  <si>
    <t>Na</t>
  </si>
  <si>
    <t>PH</t>
  </si>
  <si>
    <t xml:space="preserve">Parcela </t>
  </si>
  <si>
    <t>Sistema de cultivo</t>
  </si>
  <si>
    <t>Culturas antecedentes</t>
  </si>
  <si>
    <t>PD</t>
  </si>
  <si>
    <t>0 - 5</t>
  </si>
  <si>
    <t>25 - 30</t>
  </si>
  <si>
    <t>CROTA</t>
  </si>
  <si>
    <t>CM</t>
  </si>
  <si>
    <t>CC</t>
  </si>
  <si>
    <t>MO</t>
  </si>
  <si>
    <t>FÓSFORO</t>
  </si>
  <si>
    <t>POTÁSSIO</t>
  </si>
  <si>
    <t>M.O</t>
  </si>
  <si>
    <t>0-0.5</t>
  </si>
  <si>
    <t>0.5-0.10</t>
  </si>
  <si>
    <t>0.10-0.15</t>
  </si>
  <si>
    <t>0.15-0.20</t>
  </si>
  <si>
    <t>0.20-0.25</t>
  </si>
  <si>
    <t>0.25-0.30</t>
  </si>
  <si>
    <t>0.30-0.35</t>
  </si>
  <si>
    <t>0.35-0.40</t>
  </si>
  <si>
    <t>Guandu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</si>
</sst>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49" fontId="0" fillId="2" borderId="1" xfId="0" applyNumberFormat="1" applyFill="1" applyBorder="1"/>
    <xf numFmtId="49" fontId="1" fillId="2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FÓSFORO!$M$4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FÓSFORO!$O$4:$O$11</c:f>
              <c:numCache>
                <c:formatCode>0.00</c:formatCode>
                <c:ptCount val="8"/>
                <c:pt idx="0">
                  <c:v>60.29666666666666</c:v>
                </c:pt>
                <c:pt idx="1">
                  <c:v>62.626666666666665</c:v>
                </c:pt>
                <c:pt idx="2">
                  <c:v>51.673333333333339</c:v>
                </c:pt>
                <c:pt idx="3">
                  <c:v>34.5</c:v>
                </c:pt>
                <c:pt idx="4">
                  <c:v>20.655186</c:v>
                </c:pt>
                <c:pt idx="5">
                  <c:v>11.760960000000003</c:v>
                </c:pt>
                <c:pt idx="6">
                  <c:v>5.7334679999999993</c:v>
                </c:pt>
                <c:pt idx="7">
                  <c:v>5.3414360000000007</c:v>
                </c:pt>
              </c:numCache>
            </c:numRef>
          </c:xVal>
          <c:yVal>
            <c:numRef>
              <c:f>FÓSFORO!$N$4:$N$11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4-45FB-BA7C-BD6C25882A40}"/>
            </c:ext>
          </c:extLst>
        </c:ser>
        <c:ser>
          <c:idx val="1"/>
          <c:order val="1"/>
          <c:tx>
            <c:strRef>
              <c:f>FÓSFORO!$M$12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FÓSFORO!$O$12:$O$19</c:f>
              <c:numCache>
                <c:formatCode>0.00</c:formatCode>
                <c:ptCount val="8"/>
                <c:pt idx="0">
                  <c:v>52.556666666666665</c:v>
                </c:pt>
                <c:pt idx="1">
                  <c:v>38.15</c:v>
                </c:pt>
                <c:pt idx="2">
                  <c:v>42.29</c:v>
                </c:pt>
                <c:pt idx="3">
                  <c:v>30.77333333333333</c:v>
                </c:pt>
                <c:pt idx="4">
                  <c:v>23.962956000000002</c:v>
                </c:pt>
                <c:pt idx="5">
                  <c:v>19.381081999999999</c:v>
                </c:pt>
                <c:pt idx="6">
                  <c:v>19.209568000000001</c:v>
                </c:pt>
                <c:pt idx="7">
                  <c:v>11.540441999999999</c:v>
                </c:pt>
              </c:numCache>
            </c:numRef>
          </c:xVal>
          <c:yVal>
            <c:numRef>
              <c:f>FÓSFORO!$N$12:$N$19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4-45FB-BA7C-BD6C25882A40}"/>
            </c:ext>
          </c:extLst>
        </c:ser>
        <c:ser>
          <c:idx val="2"/>
          <c:order val="2"/>
          <c:tx>
            <c:strRef>
              <c:f>FÓSFORO!$M$20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dPt>
            <c:idx val="2"/>
            <c:marker>
              <c:symbol val="square"/>
              <c:size val="7"/>
              <c:spPr>
                <a:noFill/>
                <a:ln w="12700">
                  <a:solidFill>
                    <a:schemeClr val="tx1">
                      <a:alpha val="99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6C4-45FB-BA7C-BD6C25882A40}"/>
              </c:ext>
            </c:extLst>
          </c:dPt>
          <c:errBars>
            <c:errDir val="x"/>
            <c:errBarType val="both"/>
            <c:errValType val="percentage"/>
            <c:noEndCap val="0"/>
            <c:val val="0.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FÓSFORO!$O$20:$O$27</c:f>
              <c:numCache>
                <c:formatCode>0.00</c:formatCode>
                <c:ptCount val="8"/>
                <c:pt idx="0">
                  <c:v>67.28</c:v>
                </c:pt>
                <c:pt idx="1">
                  <c:v>53.390000000000008</c:v>
                </c:pt>
                <c:pt idx="2">
                  <c:v>40.330000000000005</c:v>
                </c:pt>
                <c:pt idx="3">
                  <c:v>29.330000000000002</c:v>
                </c:pt>
                <c:pt idx="4">
                  <c:v>18.033472000000003</c:v>
                </c:pt>
                <c:pt idx="5">
                  <c:v>9.8008000000000006</c:v>
                </c:pt>
                <c:pt idx="6">
                  <c:v>5.0719139999999996</c:v>
                </c:pt>
                <c:pt idx="7">
                  <c:v>2.8422320000000005</c:v>
                </c:pt>
              </c:numCache>
            </c:numRef>
          </c:xVal>
          <c:yVal>
            <c:numRef>
              <c:f>FÓSFORO!$N$20:$N$27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C4-45FB-BA7C-BD6C25882A40}"/>
            </c:ext>
          </c:extLst>
        </c:ser>
        <c:ser>
          <c:idx val="3"/>
          <c:order val="3"/>
          <c:tx>
            <c:strRef>
              <c:f>Na!$M$28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FÓSFORO!$O$28:$O$35</c:f>
              <c:numCache>
                <c:formatCode>0.00</c:formatCode>
                <c:ptCount val="8"/>
                <c:pt idx="0">
                  <c:v>51.48</c:v>
                </c:pt>
                <c:pt idx="1">
                  <c:v>46.48</c:v>
                </c:pt>
                <c:pt idx="2">
                  <c:v>48.366666666666667</c:v>
                </c:pt>
                <c:pt idx="3">
                  <c:v>38.176666666666669</c:v>
                </c:pt>
                <c:pt idx="4">
                  <c:v>18.13148</c:v>
                </c:pt>
                <c:pt idx="5">
                  <c:v>21.684269999999998</c:v>
                </c:pt>
                <c:pt idx="6">
                  <c:v>15.485264000000001</c:v>
                </c:pt>
                <c:pt idx="7">
                  <c:v>5.9784879999999996</c:v>
                </c:pt>
              </c:numCache>
            </c:numRef>
          </c:xVal>
          <c:yVal>
            <c:numRef>
              <c:f>FÓSFORO!$N$28:$N$35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C4-45FB-BA7C-BD6C25882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1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Plantio Direto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Fósforo (mg/dm</a:t>
                </a:r>
                <a:r>
                  <a:rPr lang="pt-BR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32351440827145"/>
          <c:y val="0.76876163741817283"/>
          <c:w val="0.3036764855917285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FÓSFORO!$M$4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FÓSFORO!$S$4:$S$11</c:f>
              <c:numCache>
                <c:formatCode>0.00</c:formatCode>
                <c:ptCount val="8"/>
                <c:pt idx="0">
                  <c:v>66.473333333333343</c:v>
                </c:pt>
                <c:pt idx="1">
                  <c:v>47.29</c:v>
                </c:pt>
                <c:pt idx="2">
                  <c:v>44.223333333333329</c:v>
                </c:pt>
                <c:pt idx="3">
                  <c:v>38.053333333333335</c:v>
                </c:pt>
                <c:pt idx="4">
                  <c:v>28.961364</c:v>
                </c:pt>
                <c:pt idx="5">
                  <c:v>37.635072000000001</c:v>
                </c:pt>
                <c:pt idx="6">
                  <c:v>34.719334000000003</c:v>
                </c:pt>
                <c:pt idx="7">
                  <c:v>39.227702000000001</c:v>
                </c:pt>
              </c:numCache>
            </c:numRef>
          </c:xVal>
          <c:yVal>
            <c:numRef>
              <c:f>FÓSFORO!$R$4:$R$11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E3-4995-8C19-4DF4EC14AA2A}"/>
            </c:ext>
          </c:extLst>
        </c:ser>
        <c:ser>
          <c:idx val="1"/>
          <c:order val="1"/>
          <c:tx>
            <c:strRef>
              <c:f>FÓSFORO!$M$12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FÓSFORO!$S$12:$S$19</c:f>
              <c:numCache>
                <c:formatCode>0.00</c:formatCode>
                <c:ptCount val="8"/>
                <c:pt idx="0">
                  <c:v>45.403333333333336</c:v>
                </c:pt>
                <c:pt idx="1">
                  <c:v>34.67</c:v>
                </c:pt>
                <c:pt idx="2">
                  <c:v>50.316666666666663</c:v>
                </c:pt>
                <c:pt idx="3">
                  <c:v>37.39</c:v>
                </c:pt>
                <c:pt idx="4">
                  <c:v>33.587474</c:v>
                </c:pt>
                <c:pt idx="5">
                  <c:v>35.253610000000002</c:v>
                </c:pt>
                <c:pt idx="6">
                  <c:v>11.572110666666665</c:v>
                </c:pt>
                <c:pt idx="7">
                  <c:v>16.182167333333336</c:v>
                </c:pt>
              </c:numCache>
            </c:numRef>
          </c:xVal>
          <c:yVal>
            <c:numRef>
              <c:f>FÓSFORO!$R$12:$R$19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E3-4995-8C19-4DF4EC14AA2A}"/>
            </c:ext>
          </c:extLst>
        </c:ser>
        <c:ser>
          <c:idx val="2"/>
          <c:order val="2"/>
          <c:tx>
            <c:strRef>
              <c:f>FÓSFORO!$M$20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FÓSFORO!$S$20:$S$27</c:f>
              <c:numCache>
                <c:formatCode>0.00</c:formatCode>
                <c:ptCount val="8"/>
                <c:pt idx="0">
                  <c:v>55.963333333333338</c:v>
                </c:pt>
                <c:pt idx="1">
                  <c:v>38.516666666666666</c:v>
                </c:pt>
                <c:pt idx="2">
                  <c:v>47.146666666666668</c:v>
                </c:pt>
                <c:pt idx="3">
                  <c:v>56.160000000000004</c:v>
                </c:pt>
                <c:pt idx="4">
                  <c:v>76.288550000000001</c:v>
                </c:pt>
                <c:pt idx="5">
                  <c:v>70.590649999999997</c:v>
                </c:pt>
                <c:pt idx="6">
                  <c:v>61.727250000000005</c:v>
                </c:pt>
                <c:pt idx="7">
                  <c:v>67.425149999999988</c:v>
                </c:pt>
              </c:numCache>
            </c:numRef>
          </c:xVal>
          <c:yVal>
            <c:numRef>
              <c:f>FÓSFORO!$R$20:$R$27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E3-4995-8C19-4DF4EC14AA2A}"/>
            </c:ext>
          </c:extLst>
        </c:ser>
        <c:ser>
          <c:idx val="3"/>
          <c:order val="3"/>
          <c:tx>
            <c:strRef>
              <c:f>FÓSFORO!$Q$28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FÓSFORO!$S$28:$S$35</c:f>
              <c:numCache>
                <c:formatCode>0.00</c:formatCode>
                <c:ptCount val="8"/>
                <c:pt idx="0">
                  <c:v>68.656666666666666</c:v>
                </c:pt>
                <c:pt idx="1">
                  <c:v>51.379999999999995</c:v>
                </c:pt>
                <c:pt idx="2">
                  <c:v>34.99</c:v>
                </c:pt>
                <c:pt idx="3">
                  <c:v>30.776666666666667</c:v>
                </c:pt>
                <c:pt idx="4">
                  <c:v>29.573914000000002</c:v>
                </c:pt>
                <c:pt idx="5">
                  <c:v>45.353202000000003</c:v>
                </c:pt>
                <c:pt idx="6">
                  <c:v>32.857182000000002</c:v>
                </c:pt>
                <c:pt idx="7">
                  <c:v>25.751602000000002</c:v>
                </c:pt>
              </c:numCache>
            </c:numRef>
          </c:xVal>
          <c:yVal>
            <c:numRef>
              <c:f>FÓSFORO!$R$28:$R$35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E3-4995-8C19-4DF4EC14A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Cultivo Convencional - Fósforo (mg/dm</a:t>
                </a:r>
                <a:r>
                  <a:rPr lang="pt-BR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61264442654838"/>
          <c:y val="0.79051629547788238"/>
          <c:w val="0.24309822555517485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83347232413556"/>
          <c:y val="8.24652411117821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FÓSFORO!$U$4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FÓSFORO!$W$4:$W$11</c:f>
              <c:numCache>
                <c:formatCode>0.00</c:formatCode>
                <c:ptCount val="8"/>
                <c:pt idx="0">
                  <c:v>63.629999999999995</c:v>
                </c:pt>
                <c:pt idx="1">
                  <c:v>51.28</c:v>
                </c:pt>
                <c:pt idx="2">
                  <c:v>47.146666666666668</c:v>
                </c:pt>
                <c:pt idx="3">
                  <c:v>56.160000000000004</c:v>
                </c:pt>
                <c:pt idx="4">
                  <c:v>76.288550000000001</c:v>
                </c:pt>
                <c:pt idx="5">
                  <c:v>70.590649999999997</c:v>
                </c:pt>
                <c:pt idx="6">
                  <c:v>61.727250000000005</c:v>
                </c:pt>
                <c:pt idx="7">
                  <c:v>67.425149999999988</c:v>
                </c:pt>
              </c:numCache>
            </c:numRef>
          </c:xVal>
          <c:yVal>
            <c:numRef>
              <c:f>FÓSFORO!$V$4:$V$11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5-4E80-BC6C-A7403C57EBFF}"/>
            </c:ext>
          </c:extLst>
        </c:ser>
        <c:ser>
          <c:idx val="1"/>
          <c:order val="1"/>
          <c:tx>
            <c:strRef>
              <c:f>FÓSFORO!$U$12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FÓSFORO!$W$12:$W$19</c:f>
              <c:numCache>
                <c:formatCode>0.00</c:formatCode>
                <c:ptCount val="8"/>
                <c:pt idx="0">
                  <c:v>51.283333333333331</c:v>
                </c:pt>
                <c:pt idx="1">
                  <c:v>49.483333333333327</c:v>
                </c:pt>
                <c:pt idx="2">
                  <c:v>40.476666666666667</c:v>
                </c:pt>
                <c:pt idx="3">
                  <c:v>39.173333333333332</c:v>
                </c:pt>
                <c:pt idx="4">
                  <c:v>47.799049999999994</c:v>
                </c:pt>
                <c:pt idx="5">
                  <c:v>36.719799999999999</c:v>
                </c:pt>
                <c:pt idx="6">
                  <c:v>29.122599999999995</c:v>
                </c:pt>
                <c:pt idx="7">
                  <c:v>41.784599999999998</c:v>
                </c:pt>
              </c:numCache>
            </c:numRef>
          </c:xVal>
          <c:yVal>
            <c:numRef>
              <c:f>FÓSFORO!$V$12:$V$19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5-4E80-BC6C-A7403C57EBFF}"/>
            </c:ext>
          </c:extLst>
        </c:ser>
        <c:ser>
          <c:idx val="2"/>
          <c:order val="2"/>
          <c:tx>
            <c:strRef>
              <c:f>FÓSFORO!$M$20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FÓSFORO!$W$20:$W$27</c:f>
              <c:numCache>
                <c:formatCode>0.00</c:formatCode>
                <c:ptCount val="8"/>
                <c:pt idx="0">
                  <c:v>92.75</c:v>
                </c:pt>
                <c:pt idx="1">
                  <c:v>77.233333333333334</c:v>
                </c:pt>
                <c:pt idx="2">
                  <c:v>59.206666666666671</c:v>
                </c:pt>
                <c:pt idx="3">
                  <c:v>57.24666666666667</c:v>
                </c:pt>
                <c:pt idx="4">
                  <c:v>37.108599999999996</c:v>
                </c:pt>
                <c:pt idx="5">
                  <c:v>37.890416666666667</c:v>
                </c:pt>
                <c:pt idx="6">
                  <c:v>40.823283333333329</c:v>
                </c:pt>
                <c:pt idx="7">
                  <c:v>27.043799999999994</c:v>
                </c:pt>
              </c:numCache>
            </c:numRef>
          </c:xVal>
          <c:yVal>
            <c:numRef>
              <c:f>FÓSFORO!$V$20:$V$27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95-4E80-BC6C-A7403C57EBFF}"/>
            </c:ext>
          </c:extLst>
        </c:ser>
        <c:ser>
          <c:idx val="3"/>
          <c:order val="3"/>
          <c:tx>
            <c:strRef>
              <c:f>FÓSFORO!$Q$28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FÓSFORO!$W$28:$W$35</c:f>
              <c:numCache>
                <c:formatCode>0.00</c:formatCode>
                <c:ptCount val="8"/>
                <c:pt idx="0">
                  <c:v>69.959999999999994</c:v>
                </c:pt>
                <c:pt idx="1">
                  <c:v>74.073333333333338</c:v>
                </c:pt>
                <c:pt idx="2">
                  <c:v>81.353333333333339</c:v>
                </c:pt>
                <c:pt idx="3">
                  <c:v>78.86666666666666</c:v>
                </c:pt>
                <c:pt idx="4">
                  <c:v>77.871299999999991</c:v>
                </c:pt>
                <c:pt idx="5">
                  <c:v>71.540299999999988</c:v>
                </c:pt>
                <c:pt idx="6">
                  <c:v>75.655449999999988</c:v>
                </c:pt>
                <c:pt idx="7">
                  <c:v>60.144500000000001</c:v>
                </c:pt>
              </c:numCache>
            </c:numRef>
          </c:xVal>
          <c:yVal>
            <c:numRef>
              <c:f>FÓSFORO!$V$28:$V$35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5-4E80-BC6C-A7403C57E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Cultivo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Mínimo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 -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Fósforo (mg/dm</a:t>
                </a:r>
                <a:r>
                  <a:rPr lang="pt-BR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456048387737"/>
          <c:y val="0.76876163741817283"/>
          <c:w val="0.22290543951612257"/>
          <c:h val="0.22675976801151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POTÁSSIO!$L$4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POTÁSSIO!$N$4:$N$11</c:f>
              <c:numCache>
                <c:formatCode>0.00</c:formatCode>
                <c:ptCount val="8"/>
                <c:pt idx="0">
                  <c:v>78.163333333333341</c:v>
                </c:pt>
                <c:pt idx="1">
                  <c:v>50.099999999999994</c:v>
                </c:pt>
                <c:pt idx="2">
                  <c:v>30.099999999999998</c:v>
                </c:pt>
                <c:pt idx="3">
                  <c:v>19.733333333333334</c:v>
                </c:pt>
                <c:pt idx="4">
                  <c:v>20.466666666666665</c:v>
                </c:pt>
                <c:pt idx="5">
                  <c:v>28.566666666666663</c:v>
                </c:pt>
                <c:pt idx="6">
                  <c:v>31.733333333333331</c:v>
                </c:pt>
                <c:pt idx="7">
                  <c:v>31.599999999999998</c:v>
                </c:pt>
              </c:numCache>
            </c:numRef>
          </c:xVal>
          <c:yVal>
            <c:numRef>
              <c:f>POTÁSSIO!$M$4:$M$11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92-4837-BEC2-BCBA3064EF23}"/>
            </c:ext>
          </c:extLst>
        </c:ser>
        <c:ser>
          <c:idx val="1"/>
          <c:order val="1"/>
          <c:tx>
            <c:strRef>
              <c:f>POTÁSSIO!$L$12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POTÁSSIO!$N$12:$N$19</c:f>
              <c:numCache>
                <c:formatCode>0.00</c:formatCode>
                <c:ptCount val="8"/>
                <c:pt idx="0">
                  <c:v>112.8</c:v>
                </c:pt>
                <c:pt idx="1">
                  <c:v>63.199999999999996</c:v>
                </c:pt>
                <c:pt idx="2">
                  <c:v>39.300000000000004</c:v>
                </c:pt>
                <c:pt idx="3">
                  <c:v>21.633333333333336</c:v>
                </c:pt>
                <c:pt idx="4">
                  <c:v>17.8</c:v>
                </c:pt>
                <c:pt idx="5">
                  <c:v>21.933333333333334</c:v>
                </c:pt>
                <c:pt idx="6">
                  <c:v>24.066666666666666</c:v>
                </c:pt>
                <c:pt idx="7">
                  <c:v>25.733333333333334</c:v>
                </c:pt>
              </c:numCache>
            </c:numRef>
          </c:xVal>
          <c:yVal>
            <c:numRef>
              <c:f>POTÁSSIO!$M$12:$M$19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92-4837-BEC2-BCBA3064EF23}"/>
            </c:ext>
          </c:extLst>
        </c:ser>
        <c:ser>
          <c:idx val="2"/>
          <c:order val="2"/>
          <c:tx>
            <c:strRef>
              <c:f>POTÁSSIO!$L$20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POTÁSSIO!$N$20:$N$27</c:f>
              <c:numCache>
                <c:formatCode>0.00</c:formatCode>
                <c:ptCount val="8"/>
                <c:pt idx="0">
                  <c:v>165.6</c:v>
                </c:pt>
                <c:pt idx="1">
                  <c:v>49.333333333333336</c:v>
                </c:pt>
                <c:pt idx="2">
                  <c:v>34</c:v>
                </c:pt>
                <c:pt idx="3">
                  <c:v>30.966666666666665</c:v>
                </c:pt>
                <c:pt idx="4">
                  <c:v>28.599999999999998</c:v>
                </c:pt>
                <c:pt idx="5">
                  <c:v>30.366666666666664</c:v>
                </c:pt>
                <c:pt idx="6">
                  <c:v>30</c:v>
                </c:pt>
                <c:pt idx="7">
                  <c:v>30.866666666666664</c:v>
                </c:pt>
              </c:numCache>
            </c:numRef>
          </c:xVal>
          <c:yVal>
            <c:numRef>
              <c:f>POTÁSSIO!$M$20:$M$27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92-4837-BEC2-BCBA3064EF23}"/>
            </c:ext>
          </c:extLst>
        </c:ser>
        <c:ser>
          <c:idx val="3"/>
          <c:order val="3"/>
          <c:tx>
            <c:strRef>
              <c:f>POTÁSSIO!$L$28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POTÁSSIO!$N$28:$N$35</c:f>
              <c:numCache>
                <c:formatCode>0.00</c:formatCode>
                <c:ptCount val="8"/>
                <c:pt idx="0">
                  <c:v>101.03333333333335</c:v>
                </c:pt>
                <c:pt idx="1">
                  <c:v>74.933333333333323</c:v>
                </c:pt>
                <c:pt idx="2">
                  <c:v>64.966666666666654</c:v>
                </c:pt>
                <c:pt idx="3">
                  <c:v>59.099999999999994</c:v>
                </c:pt>
                <c:pt idx="4">
                  <c:v>28.533333333333335</c:v>
                </c:pt>
                <c:pt idx="5">
                  <c:v>28.466666666666669</c:v>
                </c:pt>
                <c:pt idx="6">
                  <c:v>30.3</c:v>
                </c:pt>
                <c:pt idx="7">
                  <c:v>33.833333333333336</c:v>
                </c:pt>
              </c:numCache>
            </c:numRef>
          </c:xVal>
          <c:yVal>
            <c:numRef>
              <c:f>POTÁSSIO!$M$28:$M$35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92-4837-BEC2-BCBA3064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Plantio Direto 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Potássio (mg/dm</a:t>
                </a:r>
                <a:r>
                  <a:rPr lang="pt-BR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 val="autoZero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456048387737"/>
          <c:y val="0.76876163741817283"/>
          <c:w val="0.22290543951612257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POTÁSSIO!$P$4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POTÁSSIO!$R$4:$R$11</c:f>
              <c:numCache>
                <c:formatCode>0.00</c:formatCode>
                <c:ptCount val="8"/>
                <c:pt idx="0">
                  <c:v>121.23333333333333</c:v>
                </c:pt>
                <c:pt idx="1">
                  <c:v>59.199999999999996</c:v>
                </c:pt>
                <c:pt idx="2">
                  <c:v>39</c:v>
                </c:pt>
                <c:pt idx="3">
                  <c:v>39</c:v>
                </c:pt>
                <c:pt idx="4">
                  <c:v>41.933333333333337</c:v>
                </c:pt>
                <c:pt idx="5">
                  <c:v>46.133333333333333</c:v>
                </c:pt>
                <c:pt idx="6">
                  <c:v>45.366666666666653</c:v>
                </c:pt>
                <c:pt idx="7">
                  <c:v>44.866666666666667</c:v>
                </c:pt>
              </c:numCache>
            </c:numRef>
          </c:xVal>
          <c:yVal>
            <c:numRef>
              <c:f>POTÁSSIO!$Q$4:$Q$11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EC-4E4B-B208-4756E604CB98}"/>
            </c:ext>
          </c:extLst>
        </c:ser>
        <c:ser>
          <c:idx val="1"/>
          <c:order val="1"/>
          <c:tx>
            <c:strRef>
              <c:f>POTÁSSIO!$P$12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POTÁSSIO!$R$12:$R$19</c:f>
              <c:numCache>
                <c:formatCode>0.00</c:formatCode>
                <c:ptCount val="8"/>
                <c:pt idx="0">
                  <c:v>129.86666666666667</c:v>
                </c:pt>
                <c:pt idx="1">
                  <c:v>95.86666666666666</c:v>
                </c:pt>
                <c:pt idx="2">
                  <c:v>36.266666666666666</c:v>
                </c:pt>
                <c:pt idx="3">
                  <c:v>26.97</c:v>
                </c:pt>
                <c:pt idx="4">
                  <c:v>34.300000000000004</c:v>
                </c:pt>
                <c:pt idx="5">
                  <c:v>35.1</c:v>
                </c:pt>
                <c:pt idx="6">
                  <c:v>32.566666666666663</c:v>
                </c:pt>
                <c:pt idx="7">
                  <c:v>31.366666666666664</c:v>
                </c:pt>
              </c:numCache>
            </c:numRef>
          </c:xVal>
          <c:yVal>
            <c:numRef>
              <c:f>POTÁSSIO!$Q$12:$Q$19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EC-4E4B-B208-4756E604CB98}"/>
            </c:ext>
          </c:extLst>
        </c:ser>
        <c:ser>
          <c:idx val="2"/>
          <c:order val="2"/>
          <c:tx>
            <c:strRef>
              <c:f>POTÁSSIO!$P$20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POTÁSSIO!$R$20:$R$27</c:f>
              <c:numCache>
                <c:formatCode>0.00</c:formatCode>
                <c:ptCount val="8"/>
                <c:pt idx="0">
                  <c:v>121.53333333333335</c:v>
                </c:pt>
                <c:pt idx="1">
                  <c:v>64.100000000000009</c:v>
                </c:pt>
                <c:pt idx="2">
                  <c:v>38.466666666666669</c:v>
                </c:pt>
                <c:pt idx="3">
                  <c:v>24.466666666666669</c:v>
                </c:pt>
                <c:pt idx="4">
                  <c:v>27.599999999999998</c:v>
                </c:pt>
                <c:pt idx="5">
                  <c:v>30.033333333333331</c:v>
                </c:pt>
                <c:pt idx="6">
                  <c:v>31.5</c:v>
                </c:pt>
                <c:pt idx="7">
                  <c:v>31.633333333333329</c:v>
                </c:pt>
              </c:numCache>
            </c:numRef>
          </c:xVal>
          <c:yVal>
            <c:numRef>
              <c:f>POTÁSSIO!$Q$20:$Q$27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EC-4E4B-B208-4756E604CB98}"/>
            </c:ext>
          </c:extLst>
        </c:ser>
        <c:ser>
          <c:idx val="3"/>
          <c:order val="3"/>
          <c:tx>
            <c:strRef>
              <c:f>POTÁSSIO!$P$28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POTÁSSIO!$R$28:$R$35</c:f>
              <c:numCache>
                <c:formatCode>0.00</c:formatCode>
                <c:ptCount val="8"/>
                <c:pt idx="0">
                  <c:v>125.83333333333333</c:v>
                </c:pt>
                <c:pt idx="1">
                  <c:v>61.966666666666661</c:v>
                </c:pt>
                <c:pt idx="2">
                  <c:v>42.699999999999996</c:v>
                </c:pt>
                <c:pt idx="3">
                  <c:v>34.06666666666667</c:v>
                </c:pt>
                <c:pt idx="4">
                  <c:v>32.133333333333333</c:v>
                </c:pt>
                <c:pt idx="5">
                  <c:v>33.766666666666666</c:v>
                </c:pt>
                <c:pt idx="6">
                  <c:v>34.833333333333336</c:v>
                </c:pt>
                <c:pt idx="7">
                  <c:v>36.599999999999994</c:v>
                </c:pt>
              </c:numCache>
            </c:numRef>
          </c:xVal>
          <c:yVal>
            <c:numRef>
              <c:f>POTÁSSIO!$Q$28:$Q$35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EC-4E4B-B208-4756E604C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2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Cultivo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Convencional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Potássio (mg/dm</a:t>
                </a:r>
                <a:r>
                  <a:rPr lang="pt-BR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  <c:majorUnit val="50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456048387737"/>
          <c:y val="0.76876163741817283"/>
          <c:w val="0.22290543951612257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POTÁSSIO!$T$4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POTÁSSIO!$V$4:$V$11</c:f>
              <c:numCache>
                <c:formatCode>0.00</c:formatCode>
                <c:ptCount val="8"/>
                <c:pt idx="0">
                  <c:v>83.166666666666671</c:v>
                </c:pt>
                <c:pt idx="1">
                  <c:v>36.466666666666669</c:v>
                </c:pt>
                <c:pt idx="2">
                  <c:v>27.466666666666665</c:v>
                </c:pt>
                <c:pt idx="3">
                  <c:v>28.633333333333336</c:v>
                </c:pt>
                <c:pt idx="4">
                  <c:v>28.375</c:v>
                </c:pt>
                <c:pt idx="5">
                  <c:v>22.966666666666665</c:v>
                </c:pt>
                <c:pt idx="6">
                  <c:v>25.100000000000005</c:v>
                </c:pt>
                <c:pt idx="7">
                  <c:v>25.833333333333332</c:v>
                </c:pt>
              </c:numCache>
            </c:numRef>
          </c:xVal>
          <c:yVal>
            <c:numRef>
              <c:f>POTÁSSIO!$U$4:$U$11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8-4941-A5E4-A90EF33AC65E}"/>
            </c:ext>
          </c:extLst>
        </c:ser>
        <c:ser>
          <c:idx val="1"/>
          <c:order val="1"/>
          <c:tx>
            <c:strRef>
              <c:f>POTÁSSIO!$T$12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POTÁSSIO!$V$12:$V$19</c:f>
              <c:numCache>
                <c:formatCode>0.00</c:formatCode>
                <c:ptCount val="8"/>
                <c:pt idx="0">
                  <c:v>89.033333333333346</c:v>
                </c:pt>
                <c:pt idx="1">
                  <c:v>57.133333333333333</c:v>
                </c:pt>
                <c:pt idx="2">
                  <c:v>38.966666666666669</c:v>
                </c:pt>
                <c:pt idx="3">
                  <c:v>28.599999999999998</c:v>
                </c:pt>
                <c:pt idx="4">
                  <c:v>30.166666666666668</c:v>
                </c:pt>
                <c:pt idx="5">
                  <c:v>36.1</c:v>
                </c:pt>
                <c:pt idx="6">
                  <c:v>38.333333333333336</c:v>
                </c:pt>
                <c:pt idx="7">
                  <c:v>39.266666666666659</c:v>
                </c:pt>
              </c:numCache>
            </c:numRef>
          </c:xVal>
          <c:yVal>
            <c:numRef>
              <c:f>POTÁSSIO!$U$12:$U$19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58-4941-A5E4-A90EF33AC65E}"/>
            </c:ext>
          </c:extLst>
        </c:ser>
        <c:ser>
          <c:idx val="2"/>
          <c:order val="2"/>
          <c:tx>
            <c:strRef>
              <c:f>POTÁSSIO!$T$20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POTÁSSIO!$V$20:$V$27</c:f>
              <c:numCache>
                <c:formatCode>0.00</c:formatCode>
                <c:ptCount val="8"/>
                <c:pt idx="0">
                  <c:v>92.5</c:v>
                </c:pt>
                <c:pt idx="1">
                  <c:v>58.233333333333327</c:v>
                </c:pt>
                <c:pt idx="2">
                  <c:v>42.466666666666661</c:v>
                </c:pt>
                <c:pt idx="3">
                  <c:v>31.133333333333329</c:v>
                </c:pt>
                <c:pt idx="4">
                  <c:v>24.633333333333329</c:v>
                </c:pt>
                <c:pt idx="5">
                  <c:v>23.266666666666666</c:v>
                </c:pt>
                <c:pt idx="6">
                  <c:v>26.8</c:v>
                </c:pt>
                <c:pt idx="7">
                  <c:v>26.900000000000002</c:v>
                </c:pt>
              </c:numCache>
            </c:numRef>
          </c:xVal>
          <c:yVal>
            <c:numRef>
              <c:f>POTÁSSIO!$U$20:$U$27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8-4941-A5E4-A90EF33AC65E}"/>
            </c:ext>
          </c:extLst>
        </c:ser>
        <c:ser>
          <c:idx val="3"/>
          <c:order val="3"/>
          <c:tx>
            <c:strRef>
              <c:f>POTÁSSIO!$T$28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POTÁSSIO!$V$28:$V$35</c:f>
              <c:numCache>
                <c:formatCode>0.00</c:formatCode>
                <c:ptCount val="8"/>
                <c:pt idx="0">
                  <c:v>85.2</c:v>
                </c:pt>
                <c:pt idx="1">
                  <c:v>43.633333333333333</c:v>
                </c:pt>
                <c:pt idx="2">
                  <c:v>34.866666666666667</c:v>
                </c:pt>
                <c:pt idx="3">
                  <c:v>31.333333333333332</c:v>
                </c:pt>
                <c:pt idx="4">
                  <c:v>29.233333333333334</c:v>
                </c:pt>
                <c:pt idx="5">
                  <c:v>27.633333333333329</c:v>
                </c:pt>
                <c:pt idx="6">
                  <c:v>33.133333333333333</c:v>
                </c:pt>
                <c:pt idx="7">
                  <c:v>35.866666666666667</c:v>
                </c:pt>
              </c:numCache>
            </c:numRef>
          </c:xVal>
          <c:yVal>
            <c:numRef>
              <c:f>POTÁSSIO!$U$28:$U$35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58-4941-A5E4-A90EF33AC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20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Cultivo Mínimo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Potássio (mg/dm</a:t>
                </a:r>
                <a:r>
                  <a:rPr lang="pt-BR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  <c:majorUnit val="50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456048387737"/>
          <c:y val="0.76876163741817283"/>
          <c:w val="0.22290543951612257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74578125247436"/>
          <c:y val="0.15609183434331739"/>
          <c:w val="0.74826353148118141"/>
          <c:h val="0.66787868391970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[1]variáveis!$AA$5</c:f>
              <c:strCache>
                <c:ptCount val="1"/>
                <c:pt idx="0">
                  <c:v>Caupi</c:v>
                </c:pt>
              </c:strCache>
            </c:strRef>
          </c:tx>
          <c:spPr>
            <a:pattFill prst="lgConfetti">
              <a:fgClr>
                <a:schemeClr val="tx1"/>
              </a:fgClr>
              <a:bgClr>
                <a:schemeClr val="bg1">
                  <a:lumMod val="85000"/>
                </a:schemeClr>
              </a:bgClr>
            </a:pattFill>
            <a:ln w="9525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[1]variáveis!$Y$6:$Z$11</c:f>
              <c:multiLvlStrCache>
                <c:ptCount val="6"/>
                <c:lvl>
                  <c:pt idx="0">
                    <c:v>0 - 0.10 m</c:v>
                  </c:pt>
                  <c:pt idx="1">
                    <c:v>0.10. 0.20 m</c:v>
                  </c:pt>
                  <c:pt idx="2">
                    <c:v>0 - 0.10 m</c:v>
                  </c:pt>
                  <c:pt idx="3">
                    <c:v>0.10. 0.20 m</c:v>
                  </c:pt>
                  <c:pt idx="4">
                    <c:v>0 - 0.10 m</c:v>
                  </c:pt>
                  <c:pt idx="5">
                    <c:v>0.10. 0.20 m</c:v>
                  </c:pt>
                </c:lvl>
                <c:lvl>
                  <c:pt idx="0">
                    <c:v>CC</c:v>
                  </c:pt>
                  <c:pt idx="2">
                    <c:v>CM</c:v>
                  </c:pt>
                  <c:pt idx="4">
                    <c:v>PD</c:v>
                  </c:pt>
                </c:lvl>
              </c:multiLvlStrCache>
            </c:multiLvlStrRef>
          </c:cat>
          <c:val>
            <c:numRef>
              <c:f>[1]variáveis!$AA$6:$AA$11</c:f>
              <c:numCache>
                <c:formatCode>General</c:formatCode>
                <c:ptCount val="6"/>
                <c:pt idx="0">
                  <c:v>0.4316666666666667</c:v>
                </c:pt>
                <c:pt idx="1">
                  <c:v>0.33</c:v>
                </c:pt>
                <c:pt idx="2">
                  <c:v>0.67166666666666675</c:v>
                </c:pt>
                <c:pt idx="3">
                  <c:v>0.41663333333333324</c:v>
                </c:pt>
                <c:pt idx="4">
                  <c:v>0.81333333333333313</c:v>
                </c:pt>
                <c:pt idx="5">
                  <c:v>0.51333333333333331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7-4C2C-9917-CA5FE4974A74}"/>
            </c:ext>
          </c:extLst>
        </c:ser>
        <c:ser>
          <c:idx val="1"/>
          <c:order val="1"/>
          <c:tx>
            <c:strRef>
              <c:f>[1]variáveis!$AB$5</c:f>
              <c:strCache>
                <c:ptCount val="1"/>
                <c:pt idx="0">
                  <c:v>Milheto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>
                  <a:lumMod val="7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[1]variáveis!$Y$6:$Z$11</c:f>
              <c:multiLvlStrCache>
                <c:ptCount val="6"/>
                <c:lvl>
                  <c:pt idx="0">
                    <c:v>0 - 0.10 m</c:v>
                  </c:pt>
                  <c:pt idx="1">
                    <c:v>0.10. 0.20 m</c:v>
                  </c:pt>
                  <c:pt idx="2">
                    <c:v>0 - 0.10 m</c:v>
                  </c:pt>
                  <c:pt idx="3">
                    <c:v>0.10. 0.20 m</c:v>
                  </c:pt>
                  <c:pt idx="4">
                    <c:v>0 - 0.10 m</c:v>
                  </c:pt>
                  <c:pt idx="5">
                    <c:v>0.10. 0.20 m</c:v>
                  </c:pt>
                </c:lvl>
                <c:lvl>
                  <c:pt idx="0">
                    <c:v>CC</c:v>
                  </c:pt>
                  <c:pt idx="2">
                    <c:v>CM</c:v>
                  </c:pt>
                  <c:pt idx="4">
                    <c:v>PD</c:v>
                  </c:pt>
                </c:lvl>
              </c:multiLvlStrCache>
            </c:multiLvlStrRef>
          </c:cat>
          <c:val>
            <c:numRef>
              <c:f>[1]variáveis!$AB$6:$AB$11</c:f>
              <c:numCache>
                <c:formatCode>General</c:formatCode>
                <c:ptCount val="6"/>
                <c:pt idx="0">
                  <c:v>0.5099999999999999</c:v>
                </c:pt>
                <c:pt idx="1">
                  <c:v>0.32</c:v>
                </c:pt>
                <c:pt idx="2">
                  <c:v>0.67666666666666653</c:v>
                </c:pt>
                <c:pt idx="3">
                  <c:v>0.4884666666666666</c:v>
                </c:pt>
                <c:pt idx="4">
                  <c:v>0.67</c:v>
                </c:pt>
                <c:pt idx="5">
                  <c:v>0.55333333333333334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7-4C2C-9917-CA5FE4974A74}"/>
            </c:ext>
          </c:extLst>
        </c:ser>
        <c:ser>
          <c:idx val="2"/>
          <c:order val="2"/>
          <c:tx>
            <c:strRef>
              <c:f>[1]variáveis!$AC$5</c:f>
              <c:strCache>
                <c:ptCount val="1"/>
                <c:pt idx="0">
                  <c:v>Crota</c:v>
                </c:pt>
              </c:strCache>
            </c:strRef>
          </c:tx>
          <c:spPr>
            <a:pattFill prst="pct90">
              <a:fgClr>
                <a:schemeClr val="tx1"/>
              </a:fgClr>
              <a:bgClr>
                <a:schemeClr val="bg1">
                  <a:lumMod val="8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[1]variáveis!$Y$6:$Z$11</c:f>
              <c:multiLvlStrCache>
                <c:ptCount val="6"/>
                <c:lvl>
                  <c:pt idx="0">
                    <c:v>0 - 0.10 m</c:v>
                  </c:pt>
                  <c:pt idx="1">
                    <c:v>0.10. 0.20 m</c:v>
                  </c:pt>
                  <c:pt idx="2">
                    <c:v>0 - 0.10 m</c:v>
                  </c:pt>
                  <c:pt idx="3">
                    <c:v>0.10. 0.20 m</c:v>
                  </c:pt>
                  <c:pt idx="4">
                    <c:v>0 - 0.10 m</c:v>
                  </c:pt>
                  <c:pt idx="5">
                    <c:v>0.10. 0.20 m</c:v>
                  </c:pt>
                </c:lvl>
                <c:lvl>
                  <c:pt idx="0">
                    <c:v>CC</c:v>
                  </c:pt>
                  <c:pt idx="2">
                    <c:v>CM</c:v>
                  </c:pt>
                  <c:pt idx="4">
                    <c:v>PD</c:v>
                  </c:pt>
                </c:lvl>
              </c:multiLvlStrCache>
            </c:multiLvlStrRef>
          </c:cat>
          <c:val>
            <c:numRef>
              <c:f>[1]variáveis!$AC$6:$AC$11</c:f>
              <c:numCache>
                <c:formatCode>General</c:formatCode>
                <c:ptCount val="6"/>
                <c:pt idx="0">
                  <c:v>0.65999999999999992</c:v>
                </c:pt>
                <c:pt idx="1">
                  <c:v>0.40500000000000003</c:v>
                </c:pt>
                <c:pt idx="2">
                  <c:v>0.7683333333333332</c:v>
                </c:pt>
                <c:pt idx="3">
                  <c:v>0.57753999999999994</c:v>
                </c:pt>
                <c:pt idx="4">
                  <c:v>0.79833333333333323</c:v>
                </c:pt>
                <c:pt idx="5">
                  <c:v>0.66833333333333333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7-4C2C-9917-CA5FE4974A74}"/>
            </c:ext>
          </c:extLst>
        </c:ser>
        <c:ser>
          <c:idx val="3"/>
          <c:order val="3"/>
          <c:tx>
            <c:strRef>
              <c:f>[1]variáveis!$AD$5</c:f>
              <c:strCache>
                <c:ptCount val="1"/>
                <c:pt idx="0">
                  <c:v>Guandu</c:v>
                </c:pt>
              </c:strCache>
            </c:strRef>
          </c:tx>
          <c:spPr>
            <a:pattFill prst="divot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[1]variáveis!$Y$6:$Z$11</c:f>
              <c:multiLvlStrCache>
                <c:ptCount val="6"/>
                <c:lvl>
                  <c:pt idx="0">
                    <c:v>0 - 0.10 m</c:v>
                  </c:pt>
                  <c:pt idx="1">
                    <c:v>0.10. 0.20 m</c:v>
                  </c:pt>
                  <c:pt idx="2">
                    <c:v>0 - 0.10 m</c:v>
                  </c:pt>
                  <c:pt idx="3">
                    <c:v>0.10. 0.20 m</c:v>
                  </c:pt>
                  <c:pt idx="4">
                    <c:v>0 - 0.10 m</c:v>
                  </c:pt>
                  <c:pt idx="5">
                    <c:v>0.10. 0.20 m</c:v>
                  </c:pt>
                </c:lvl>
                <c:lvl>
                  <c:pt idx="0">
                    <c:v>CC</c:v>
                  </c:pt>
                  <c:pt idx="2">
                    <c:v>CM</c:v>
                  </c:pt>
                  <c:pt idx="4">
                    <c:v>PD</c:v>
                  </c:pt>
                </c:lvl>
              </c:multiLvlStrCache>
            </c:multiLvlStrRef>
          </c:cat>
          <c:val>
            <c:numRef>
              <c:f>[1]variáveis!$AD$6:$AD$11</c:f>
              <c:numCache>
                <c:formatCode>General</c:formatCode>
                <c:ptCount val="6"/>
                <c:pt idx="0">
                  <c:v>0.69500000000000006</c:v>
                </c:pt>
                <c:pt idx="1">
                  <c:v>0.52</c:v>
                </c:pt>
                <c:pt idx="2">
                  <c:v>0.77999999999999992</c:v>
                </c:pt>
                <c:pt idx="3">
                  <c:v>0.5890333333333333</c:v>
                </c:pt>
                <c:pt idx="4">
                  <c:v>0.64500000000000002</c:v>
                </c:pt>
                <c:pt idx="5">
                  <c:v>0.41833333333333333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B7-4C2C-9917-CA5FE4974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859247"/>
        <c:axId val="1997860495"/>
      </c:barChart>
      <c:catAx>
        <c:axId val="199785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7860495"/>
        <c:crosses val="autoZero"/>
        <c:auto val="1"/>
        <c:lblAlgn val="ctr"/>
        <c:lblOffset val="100"/>
        <c:noMultiLvlLbl val="0"/>
      </c:catAx>
      <c:valAx>
        <c:axId val="1997860495"/>
        <c:scaling>
          <c:orientation val="minMax"/>
        </c:scaling>
        <c:delete val="0"/>
        <c:axPos val="l"/>
        <c:majorGridlines>
          <c:spPr>
            <a:ln w="3175" cap="flat" cmpd="sng" algn="ctr">
              <a:noFill/>
              <a:prstDash val="sysDot"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Matéria orgânica (g/kg)</a:t>
                </a:r>
              </a:p>
            </c:rich>
          </c:tx>
          <c:layout>
            <c:manualLayout>
              <c:xMode val="edge"/>
              <c:yMode val="edge"/>
              <c:x val="5.8145825074456946E-2"/>
              <c:y val="0.33753879283737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785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518448423952266"/>
          <c:y val="5.6227148348835902E-2"/>
          <c:w val="0.33034171418697084"/>
          <c:h val="0.14360192007132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57641121964834"/>
          <c:y val="8.2465323976691776E-2"/>
          <c:w val="0.54755663200929361"/>
          <c:h val="0.88641892190501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Na!$M$4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Na!$O$4:$O$11</c:f>
              <c:numCache>
                <c:formatCode>0.00</c:formatCode>
                <c:ptCount val="8"/>
                <c:pt idx="0">
                  <c:v>8.9</c:v>
                </c:pt>
                <c:pt idx="1">
                  <c:v>7.7</c:v>
                </c:pt>
                <c:pt idx="2">
                  <c:v>7.666666666666667</c:v>
                </c:pt>
                <c:pt idx="3">
                  <c:v>11.033333333333333</c:v>
                </c:pt>
                <c:pt idx="4">
                  <c:v>13.200000000000001</c:v>
                </c:pt>
                <c:pt idx="5">
                  <c:v>13.566666666666665</c:v>
                </c:pt>
                <c:pt idx="6">
                  <c:v>13.166666666666666</c:v>
                </c:pt>
                <c:pt idx="7">
                  <c:v>10.466666666666667</c:v>
                </c:pt>
              </c:numCache>
            </c:numRef>
          </c:xVal>
          <c:yVal>
            <c:numRef>
              <c:f>Na!$N$4:$N$11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5-4AC8-89AF-D26F2199E58A}"/>
            </c:ext>
          </c:extLst>
        </c:ser>
        <c:ser>
          <c:idx val="1"/>
          <c:order val="1"/>
          <c:tx>
            <c:strRef>
              <c:f>Na!$M$12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Na!$O$12:$O$19</c:f>
              <c:numCache>
                <c:formatCode>0.00</c:formatCode>
                <c:ptCount val="8"/>
                <c:pt idx="0">
                  <c:v>6.8666666666666671</c:v>
                </c:pt>
                <c:pt idx="1">
                  <c:v>8.5666666666666682</c:v>
                </c:pt>
                <c:pt idx="2">
                  <c:v>10.266666666666667</c:v>
                </c:pt>
                <c:pt idx="3">
                  <c:v>12.233333333333334</c:v>
                </c:pt>
                <c:pt idx="4">
                  <c:v>12.466666666666667</c:v>
                </c:pt>
                <c:pt idx="5">
                  <c:v>13.800000000000002</c:v>
                </c:pt>
                <c:pt idx="6">
                  <c:v>12.033333333333333</c:v>
                </c:pt>
                <c:pt idx="7">
                  <c:v>10.066666666666668</c:v>
                </c:pt>
              </c:numCache>
            </c:numRef>
          </c:xVal>
          <c:yVal>
            <c:numRef>
              <c:f>Na!$N$12:$N$19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55-4AC8-89AF-D26F2199E58A}"/>
            </c:ext>
          </c:extLst>
        </c:ser>
        <c:ser>
          <c:idx val="2"/>
          <c:order val="2"/>
          <c:tx>
            <c:strRef>
              <c:f>Na!$M$20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dPt>
            <c:idx val="2"/>
            <c:marker>
              <c:symbol val="square"/>
              <c:size val="8"/>
              <c:spPr>
                <a:noFill/>
                <a:ln w="12700">
                  <a:solidFill>
                    <a:schemeClr val="tx1">
                      <a:alpha val="99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355-4AC8-89AF-D26F2199E58A}"/>
              </c:ext>
            </c:extLst>
          </c:dPt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Na!$O$20:$O$27</c:f>
              <c:numCache>
                <c:formatCode>0.00</c:formatCode>
                <c:ptCount val="8"/>
                <c:pt idx="0">
                  <c:v>5.333333333333333</c:v>
                </c:pt>
                <c:pt idx="1">
                  <c:v>7.7333333333333334</c:v>
                </c:pt>
                <c:pt idx="2">
                  <c:v>16.733333333333334</c:v>
                </c:pt>
                <c:pt idx="3">
                  <c:v>16.3</c:v>
                </c:pt>
                <c:pt idx="4">
                  <c:v>15.299999999999999</c:v>
                </c:pt>
                <c:pt idx="5">
                  <c:v>11</c:v>
                </c:pt>
                <c:pt idx="6">
                  <c:v>10.966666666666669</c:v>
                </c:pt>
                <c:pt idx="7">
                  <c:v>9.8000000000000007</c:v>
                </c:pt>
              </c:numCache>
            </c:numRef>
          </c:xVal>
          <c:yVal>
            <c:numRef>
              <c:f>Na!$N$20:$N$27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55-4AC8-89AF-D26F2199E58A}"/>
            </c:ext>
          </c:extLst>
        </c:ser>
        <c:ser>
          <c:idx val="3"/>
          <c:order val="3"/>
          <c:tx>
            <c:strRef>
              <c:f>Na!$M$31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Na!$O$28:$O$35</c:f>
              <c:numCache>
                <c:formatCode>0.00</c:formatCode>
                <c:ptCount val="8"/>
                <c:pt idx="0">
                  <c:v>20.099999999999998</c:v>
                </c:pt>
                <c:pt idx="1">
                  <c:v>14.833333333333334</c:v>
                </c:pt>
                <c:pt idx="2">
                  <c:v>14.666666666666666</c:v>
                </c:pt>
                <c:pt idx="3">
                  <c:v>14.4</c:v>
                </c:pt>
                <c:pt idx="4">
                  <c:v>18.566666666666666</c:v>
                </c:pt>
                <c:pt idx="5">
                  <c:v>12.666666666666666</c:v>
                </c:pt>
                <c:pt idx="6">
                  <c:v>19.233333333333331</c:v>
                </c:pt>
                <c:pt idx="7">
                  <c:v>17.933333333333334</c:v>
                </c:pt>
              </c:numCache>
            </c:numRef>
          </c:xVal>
          <c:yVal>
            <c:numRef>
              <c:f>Na!$N$28:$N$35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55-4AC8-89AF-D26F2199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Cultivo Convencional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Sódio (</a:t>
                </a:r>
                <a:r>
                  <a:rPr lang="pt-BR" sz="1000" b="1" i="0" u="none" strike="noStrike" baseline="0">
                    <a:effectLst/>
                  </a:rPr>
                  <a:t>mmolc/dm³)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(m)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 w="15875"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57641121964834"/>
          <c:y val="8.2465323976691776E-2"/>
          <c:w val="0.55989949343616896"/>
          <c:h val="0.88641892190501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Na!$M$4</c:f>
              <c:strCache>
                <c:ptCount val="1"/>
                <c:pt idx="0">
                  <c:v>Caupi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Na!$S$4:$S$11</c:f>
              <c:numCache>
                <c:formatCode>0.00</c:formatCode>
                <c:ptCount val="8"/>
                <c:pt idx="0">
                  <c:v>18.666666666666668</c:v>
                </c:pt>
                <c:pt idx="1">
                  <c:v>16.033333333333335</c:v>
                </c:pt>
                <c:pt idx="2">
                  <c:v>16.033333333333331</c:v>
                </c:pt>
                <c:pt idx="3">
                  <c:v>16.033333333333331</c:v>
                </c:pt>
                <c:pt idx="4">
                  <c:v>16.3</c:v>
                </c:pt>
                <c:pt idx="5">
                  <c:v>16.999999999999996</c:v>
                </c:pt>
                <c:pt idx="6">
                  <c:v>17.933333333333334</c:v>
                </c:pt>
                <c:pt idx="7">
                  <c:v>16.566666666666666</c:v>
                </c:pt>
              </c:numCache>
            </c:numRef>
          </c:xVal>
          <c:yVal>
            <c:numRef>
              <c:f>Na!$R$4:$R$11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BA-40B6-A272-5B59F11B79DC}"/>
            </c:ext>
          </c:extLst>
        </c:ser>
        <c:ser>
          <c:idx val="1"/>
          <c:order val="1"/>
          <c:tx>
            <c:strRef>
              <c:f>Na!$M$12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Na!$S$12:$S$19</c:f>
              <c:numCache>
                <c:formatCode>0.00</c:formatCode>
                <c:ptCount val="8"/>
                <c:pt idx="0">
                  <c:v>17.666666666666668</c:v>
                </c:pt>
                <c:pt idx="1">
                  <c:v>17.633333333333336</c:v>
                </c:pt>
                <c:pt idx="2">
                  <c:v>20.8</c:v>
                </c:pt>
                <c:pt idx="3">
                  <c:v>22.366666666666664</c:v>
                </c:pt>
                <c:pt idx="4">
                  <c:v>24.766666666666669</c:v>
                </c:pt>
                <c:pt idx="5">
                  <c:v>20.766666666666666</c:v>
                </c:pt>
                <c:pt idx="6">
                  <c:v>19.033333333333335</c:v>
                </c:pt>
                <c:pt idx="7">
                  <c:v>17.200000000000003</c:v>
                </c:pt>
              </c:numCache>
            </c:numRef>
          </c:xVal>
          <c:yVal>
            <c:numRef>
              <c:f>Na!$R$12:$R$19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BA-40B6-A272-5B59F11B79DC}"/>
            </c:ext>
          </c:extLst>
        </c:ser>
        <c:ser>
          <c:idx val="2"/>
          <c:order val="2"/>
          <c:tx>
            <c:strRef>
              <c:f>Na!$M$20</c:f>
              <c:strCache>
                <c:ptCount val="1"/>
                <c:pt idx="0">
                  <c:v>Guadu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Na!$S$20:$S$27</c:f>
              <c:numCache>
                <c:formatCode>0.00</c:formatCode>
                <c:ptCount val="8"/>
                <c:pt idx="0">
                  <c:v>7.1999999999999993</c:v>
                </c:pt>
                <c:pt idx="1">
                  <c:v>6.2333333333333343</c:v>
                </c:pt>
                <c:pt idx="2">
                  <c:v>5.0566666666666658</c:v>
                </c:pt>
                <c:pt idx="3">
                  <c:v>5.7333333333333334</c:v>
                </c:pt>
                <c:pt idx="4">
                  <c:v>6.9000000000000012</c:v>
                </c:pt>
                <c:pt idx="5">
                  <c:v>15.6</c:v>
                </c:pt>
                <c:pt idx="6">
                  <c:v>9.8000000000000007</c:v>
                </c:pt>
                <c:pt idx="7">
                  <c:v>9.8666666666666671</c:v>
                </c:pt>
              </c:numCache>
            </c:numRef>
          </c:xVal>
          <c:yVal>
            <c:numRef>
              <c:f>Na!$R$20:$R$27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BA-40B6-A272-5B59F11B79DC}"/>
            </c:ext>
          </c:extLst>
        </c:ser>
        <c:ser>
          <c:idx val="3"/>
          <c:order val="3"/>
          <c:tx>
            <c:strRef>
              <c:f>Na!$M$31</c:f>
              <c:strCache>
                <c:ptCount val="1"/>
                <c:pt idx="0">
                  <c:v>Milheto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Na!$S$28:$S$35</c:f>
              <c:numCache>
                <c:formatCode>0.00</c:formatCode>
                <c:ptCount val="8"/>
                <c:pt idx="0">
                  <c:v>20.099999999999998</c:v>
                </c:pt>
                <c:pt idx="1">
                  <c:v>14.833333333333334</c:v>
                </c:pt>
                <c:pt idx="2">
                  <c:v>14.666666666666666</c:v>
                </c:pt>
                <c:pt idx="3">
                  <c:v>14.4</c:v>
                </c:pt>
                <c:pt idx="4">
                  <c:v>18.566666666666666</c:v>
                </c:pt>
                <c:pt idx="5">
                  <c:v>12.666666666666666</c:v>
                </c:pt>
                <c:pt idx="6">
                  <c:v>19.233333333333331</c:v>
                </c:pt>
                <c:pt idx="7">
                  <c:v>17.933333333333334</c:v>
                </c:pt>
              </c:numCache>
            </c:numRef>
          </c:xVal>
          <c:yVal>
            <c:numRef>
              <c:f>Na!$R$28:$R$35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BA-40B6-A272-5B59F11B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Cultivo mínimo-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Sódio (</a:t>
                </a:r>
                <a:r>
                  <a:rPr lang="pt-BR" sz="1000" b="1" i="0" u="none" strike="noStrike" baseline="0">
                    <a:effectLst/>
                  </a:rPr>
                  <a:t>mmolc/dm³)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 w="15875"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57641121964834"/>
          <c:y val="8.2465323976691776E-2"/>
          <c:w val="0.56300215109454188"/>
          <c:h val="0.88641892190501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Na!$U$4</c:f>
              <c:strCache>
                <c:ptCount val="1"/>
                <c:pt idx="0">
                  <c:v>Caupi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Na!$W$4:$W$11</c:f>
              <c:numCache>
                <c:formatCode>0.00</c:formatCode>
                <c:ptCount val="8"/>
                <c:pt idx="0">
                  <c:v>10.1</c:v>
                </c:pt>
                <c:pt idx="1">
                  <c:v>7.0333333333333341</c:v>
                </c:pt>
                <c:pt idx="2">
                  <c:v>6.2666666666666657</c:v>
                </c:pt>
                <c:pt idx="3">
                  <c:v>8.5333333333333332</c:v>
                </c:pt>
                <c:pt idx="4">
                  <c:v>5.666666666666667</c:v>
                </c:pt>
                <c:pt idx="5">
                  <c:v>5.7666666666666666</c:v>
                </c:pt>
                <c:pt idx="6">
                  <c:v>5.7666666666666666</c:v>
                </c:pt>
                <c:pt idx="7">
                  <c:v>4.0333333333333323</c:v>
                </c:pt>
              </c:numCache>
            </c:numRef>
          </c:xVal>
          <c:yVal>
            <c:numRef>
              <c:f>Na!$V$4:$V$11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52-452D-96E2-954FFB9F11A0}"/>
            </c:ext>
          </c:extLst>
        </c:ser>
        <c:ser>
          <c:idx val="1"/>
          <c:order val="1"/>
          <c:tx>
            <c:strRef>
              <c:f>Na!$U$12</c:f>
              <c:strCache>
                <c:ptCount val="1"/>
                <c:pt idx="0">
                  <c:v>Crotalária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Na!$W$12:$W$19</c:f>
              <c:numCache>
                <c:formatCode>0.00</c:formatCode>
                <c:ptCount val="8"/>
                <c:pt idx="0">
                  <c:v>3.0666666666666664</c:v>
                </c:pt>
                <c:pt idx="1">
                  <c:v>2.2999999999999998</c:v>
                </c:pt>
                <c:pt idx="2">
                  <c:v>1.9666666666666668</c:v>
                </c:pt>
                <c:pt idx="3">
                  <c:v>2.3333333333333335</c:v>
                </c:pt>
                <c:pt idx="4">
                  <c:v>3.6666666666666665</c:v>
                </c:pt>
                <c:pt idx="5">
                  <c:v>6.166666666666667</c:v>
                </c:pt>
                <c:pt idx="6">
                  <c:v>7.9333333333333345</c:v>
                </c:pt>
                <c:pt idx="7">
                  <c:v>7.7</c:v>
                </c:pt>
              </c:numCache>
            </c:numRef>
          </c:xVal>
          <c:yVal>
            <c:numRef>
              <c:f>Na!$V$12:$V$19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52-452D-96E2-954FFB9F11A0}"/>
            </c:ext>
          </c:extLst>
        </c:ser>
        <c:ser>
          <c:idx val="2"/>
          <c:order val="2"/>
          <c:tx>
            <c:strRef>
              <c:f>Na!$U$20</c:f>
              <c:strCache>
                <c:ptCount val="1"/>
                <c:pt idx="0">
                  <c:v>Guadu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Na!$W$20:$W$27</c:f>
              <c:numCache>
                <c:formatCode>0.00</c:formatCode>
                <c:ptCount val="8"/>
                <c:pt idx="0">
                  <c:v>4.0000000000000009</c:v>
                </c:pt>
                <c:pt idx="1">
                  <c:v>4.166666666666667</c:v>
                </c:pt>
                <c:pt idx="2">
                  <c:v>2.8333333333333335</c:v>
                </c:pt>
                <c:pt idx="3">
                  <c:v>2.1</c:v>
                </c:pt>
                <c:pt idx="4">
                  <c:v>2.1</c:v>
                </c:pt>
                <c:pt idx="5">
                  <c:v>3.0333333333333337</c:v>
                </c:pt>
                <c:pt idx="6">
                  <c:v>4.5666666666666673</c:v>
                </c:pt>
                <c:pt idx="7">
                  <c:v>6.7666666666666684</c:v>
                </c:pt>
              </c:numCache>
            </c:numRef>
          </c:xVal>
          <c:yVal>
            <c:numRef>
              <c:f>Na!$V$20:$V$27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52-452D-96E2-954FFB9F11A0}"/>
            </c:ext>
          </c:extLst>
        </c:ser>
        <c:ser>
          <c:idx val="3"/>
          <c:order val="3"/>
          <c:tx>
            <c:strRef>
              <c:f>Na!$U$28</c:f>
              <c:strCache>
                <c:ptCount val="1"/>
                <c:pt idx="0">
                  <c:v>Milheto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Na!$W$28:$W$35</c:f>
              <c:numCache>
                <c:formatCode>0.00</c:formatCode>
                <c:ptCount val="8"/>
                <c:pt idx="0">
                  <c:v>7.1333333333333329</c:v>
                </c:pt>
                <c:pt idx="1">
                  <c:v>6.5333333333333323</c:v>
                </c:pt>
                <c:pt idx="2">
                  <c:v>4.7333333333333334</c:v>
                </c:pt>
                <c:pt idx="3">
                  <c:v>5.7</c:v>
                </c:pt>
                <c:pt idx="4">
                  <c:v>8.4666666666666668</c:v>
                </c:pt>
                <c:pt idx="5">
                  <c:v>8.3000000000000007</c:v>
                </c:pt>
                <c:pt idx="6">
                  <c:v>10.333333333333334</c:v>
                </c:pt>
                <c:pt idx="7">
                  <c:v>9.0666666666666664</c:v>
                </c:pt>
              </c:numCache>
            </c:numRef>
          </c:xVal>
          <c:yVal>
            <c:numRef>
              <c:f>Na!$V$28:$V$35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52-452D-96E2-954FFB9F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Plantio direto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Sódio (</a:t>
                </a:r>
                <a:r>
                  <a:rPr lang="pt-BR" sz="1000" b="1" i="0" u="none" strike="noStrike" baseline="0">
                    <a:effectLst/>
                  </a:rPr>
                  <a:t>mmolc/dm³)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 w="15875">
          <a:solidFill>
            <a:sysClr val="windowText" lastClr="000000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pH!$N$5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pH!$P$5:$P$12</c:f>
              <c:numCache>
                <c:formatCode>0.00</c:formatCode>
                <c:ptCount val="8"/>
                <c:pt idx="0">
                  <c:v>4.8566666666666665</c:v>
                </c:pt>
                <c:pt idx="1">
                  <c:v>4.746666666666667</c:v>
                </c:pt>
                <c:pt idx="2">
                  <c:v>4.6966666666666663</c:v>
                </c:pt>
                <c:pt idx="3">
                  <c:v>4.8433333333333337</c:v>
                </c:pt>
                <c:pt idx="4">
                  <c:v>4.9366666666666665</c:v>
                </c:pt>
                <c:pt idx="5">
                  <c:v>4.916666666666667</c:v>
                </c:pt>
                <c:pt idx="6">
                  <c:v>4.8899999999999997</c:v>
                </c:pt>
                <c:pt idx="7">
                  <c:v>4.79</c:v>
                </c:pt>
              </c:numCache>
            </c:numRef>
          </c:xVal>
          <c:yVal>
            <c:numRef>
              <c:f>pH!$O$5:$O$12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B4-418C-BEC9-C8B827191FB0}"/>
            </c:ext>
          </c:extLst>
        </c:ser>
        <c:ser>
          <c:idx val="1"/>
          <c:order val="1"/>
          <c:tx>
            <c:strRef>
              <c:f>pH!$N$13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pH!$P$13:$P$20</c:f>
              <c:numCache>
                <c:formatCode>0.00</c:formatCode>
                <c:ptCount val="8"/>
                <c:pt idx="0">
                  <c:v>4.9666666666666668</c:v>
                </c:pt>
                <c:pt idx="1">
                  <c:v>5.3533333333333326</c:v>
                </c:pt>
                <c:pt idx="2">
                  <c:v>4.6866666666666674</c:v>
                </c:pt>
                <c:pt idx="3">
                  <c:v>4.7700000000000005</c:v>
                </c:pt>
                <c:pt idx="4">
                  <c:v>4.8899999999999997</c:v>
                </c:pt>
                <c:pt idx="5">
                  <c:v>5.0166666666666666</c:v>
                </c:pt>
                <c:pt idx="6">
                  <c:v>5.0733333333333333</c:v>
                </c:pt>
                <c:pt idx="7">
                  <c:v>5.0500000000000007</c:v>
                </c:pt>
              </c:numCache>
            </c:numRef>
          </c:xVal>
          <c:yVal>
            <c:numRef>
              <c:f>pH!$O$13:$O$20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B4-418C-BEC9-C8B827191FB0}"/>
            </c:ext>
          </c:extLst>
        </c:ser>
        <c:ser>
          <c:idx val="2"/>
          <c:order val="2"/>
          <c:tx>
            <c:strRef>
              <c:f>pH!$N$21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pH!$P$21:$P$28</c:f>
              <c:numCache>
                <c:formatCode>0.00</c:formatCode>
                <c:ptCount val="8"/>
                <c:pt idx="0">
                  <c:v>4.47</c:v>
                </c:pt>
                <c:pt idx="1">
                  <c:v>4.3500000000000005</c:v>
                </c:pt>
                <c:pt idx="2">
                  <c:v>4.626666666666666</c:v>
                </c:pt>
                <c:pt idx="3">
                  <c:v>4.63</c:v>
                </c:pt>
                <c:pt idx="4">
                  <c:v>4.666666666666667</c:v>
                </c:pt>
                <c:pt idx="5">
                  <c:v>4.6733333333333329</c:v>
                </c:pt>
                <c:pt idx="6">
                  <c:v>4.706666666666667</c:v>
                </c:pt>
                <c:pt idx="7">
                  <c:v>4.75</c:v>
                </c:pt>
              </c:numCache>
            </c:numRef>
          </c:xVal>
          <c:yVal>
            <c:numRef>
              <c:f>pH!$O$21:$O$28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B4-418C-BEC9-C8B827191FB0}"/>
            </c:ext>
          </c:extLst>
        </c:ser>
        <c:ser>
          <c:idx val="3"/>
          <c:order val="3"/>
          <c:tx>
            <c:strRef>
              <c:f>pH!$N$29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pH!$P$29:$P$36</c:f>
              <c:numCache>
                <c:formatCode>0.00</c:formatCode>
                <c:ptCount val="8"/>
                <c:pt idx="0">
                  <c:v>5.6633333333333331</c:v>
                </c:pt>
                <c:pt idx="1">
                  <c:v>5.0266666666666673</c:v>
                </c:pt>
                <c:pt idx="2">
                  <c:v>5.12</c:v>
                </c:pt>
                <c:pt idx="3">
                  <c:v>5.19</c:v>
                </c:pt>
                <c:pt idx="4">
                  <c:v>5.16</c:v>
                </c:pt>
                <c:pt idx="5">
                  <c:v>5.1433333333333335</c:v>
                </c:pt>
                <c:pt idx="6">
                  <c:v>5.1700000000000008</c:v>
                </c:pt>
                <c:pt idx="7">
                  <c:v>5.2433333333333332</c:v>
                </c:pt>
              </c:numCache>
            </c:numRef>
          </c:xVal>
          <c:yVal>
            <c:numRef>
              <c:f>pH!$O$29:$O$36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B4-418C-BEC9-C8B827191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6"/>
          <c:min val="4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Plantio Direto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527721168669"/>
          <c:y val="0.76876163741817283"/>
          <c:w val="0.20924722788313324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pH!$R$5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pH!$T$5:$T$12</c:f>
              <c:numCache>
                <c:formatCode>0.00</c:formatCode>
                <c:ptCount val="8"/>
                <c:pt idx="0">
                  <c:v>5.0033333333333339</c:v>
                </c:pt>
                <c:pt idx="1">
                  <c:v>4.9866666666666672</c:v>
                </c:pt>
                <c:pt idx="2">
                  <c:v>4.99</c:v>
                </c:pt>
                <c:pt idx="3">
                  <c:v>5.2866666666666662</c:v>
                </c:pt>
                <c:pt idx="4">
                  <c:v>5.0166666666666666</c:v>
                </c:pt>
                <c:pt idx="5">
                  <c:v>5.0199999999999996</c:v>
                </c:pt>
                <c:pt idx="6">
                  <c:v>4.956666666666667</c:v>
                </c:pt>
                <c:pt idx="7">
                  <c:v>4.96</c:v>
                </c:pt>
              </c:numCache>
            </c:numRef>
          </c:xVal>
          <c:yVal>
            <c:numRef>
              <c:f>pH!$S$5:$S$12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B4-4E47-93E7-3235B5EFFB0E}"/>
            </c:ext>
          </c:extLst>
        </c:ser>
        <c:ser>
          <c:idx val="1"/>
          <c:order val="1"/>
          <c:tx>
            <c:strRef>
              <c:f>pH!$R$13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pH!$T$13:$T$20</c:f>
              <c:numCache>
                <c:formatCode>0.00</c:formatCode>
                <c:ptCount val="8"/>
                <c:pt idx="0">
                  <c:v>4.6433333333333335</c:v>
                </c:pt>
                <c:pt idx="1">
                  <c:v>4.7733333333333334</c:v>
                </c:pt>
                <c:pt idx="2">
                  <c:v>4.84</c:v>
                </c:pt>
                <c:pt idx="3">
                  <c:v>4.9000000000000004</c:v>
                </c:pt>
                <c:pt idx="4">
                  <c:v>4.9933333333333332</c:v>
                </c:pt>
                <c:pt idx="5">
                  <c:v>5.07</c:v>
                </c:pt>
                <c:pt idx="6">
                  <c:v>4.9766666666666666</c:v>
                </c:pt>
                <c:pt idx="7">
                  <c:v>5.0466666666666669</c:v>
                </c:pt>
              </c:numCache>
            </c:numRef>
          </c:xVal>
          <c:yVal>
            <c:numRef>
              <c:f>pH!$S$13:$S$20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B4-4E47-93E7-3235B5EFFB0E}"/>
            </c:ext>
          </c:extLst>
        </c:ser>
        <c:ser>
          <c:idx val="2"/>
          <c:order val="2"/>
          <c:tx>
            <c:strRef>
              <c:f>pH!$R$21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pH!$T$21:$T$28</c:f>
              <c:numCache>
                <c:formatCode>0.00</c:formatCode>
                <c:ptCount val="8"/>
                <c:pt idx="0">
                  <c:v>4.1400000000000006</c:v>
                </c:pt>
                <c:pt idx="1">
                  <c:v>4.5599999999999996</c:v>
                </c:pt>
                <c:pt idx="2">
                  <c:v>4.6000000000000005</c:v>
                </c:pt>
                <c:pt idx="3">
                  <c:v>4.7433333333333332</c:v>
                </c:pt>
                <c:pt idx="4">
                  <c:v>4.7533333333333339</c:v>
                </c:pt>
                <c:pt idx="5">
                  <c:v>4.6099999999999994</c:v>
                </c:pt>
                <c:pt idx="6">
                  <c:v>4.6433333333333335</c:v>
                </c:pt>
                <c:pt idx="7">
                  <c:v>4.6866666666666665</c:v>
                </c:pt>
              </c:numCache>
            </c:numRef>
          </c:xVal>
          <c:yVal>
            <c:numRef>
              <c:f>pH!$S$21:$S$28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B4-4E47-93E7-3235B5EFFB0E}"/>
            </c:ext>
          </c:extLst>
        </c:ser>
        <c:ser>
          <c:idx val="3"/>
          <c:order val="3"/>
          <c:tx>
            <c:strRef>
              <c:f>pH!$R$29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pH!$T$29:$T$36</c:f>
              <c:numCache>
                <c:formatCode>0.00</c:formatCode>
                <c:ptCount val="8"/>
                <c:pt idx="0">
                  <c:v>4.8966666666666674</c:v>
                </c:pt>
                <c:pt idx="1">
                  <c:v>5.169999999999999</c:v>
                </c:pt>
                <c:pt idx="2">
                  <c:v>5.1333333333333329</c:v>
                </c:pt>
                <c:pt idx="3">
                  <c:v>5.0733333333333333</c:v>
                </c:pt>
                <c:pt idx="4">
                  <c:v>5.1166666666666663</c:v>
                </c:pt>
                <c:pt idx="5">
                  <c:v>5.1233333333333331</c:v>
                </c:pt>
                <c:pt idx="6">
                  <c:v>5.2366666666666672</c:v>
                </c:pt>
                <c:pt idx="7">
                  <c:v>5.3</c:v>
                </c:pt>
              </c:numCache>
            </c:numRef>
          </c:xVal>
          <c:yVal>
            <c:numRef>
              <c:f>pH!$S$29:$S$36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B4-4E47-93E7-3235B5EFF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6"/>
          <c:min val="4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Cultivo Mínimo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527721168669"/>
          <c:y val="0.76876163741817283"/>
          <c:w val="0.20924722788313324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pH!$V$5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pH!$X$5:$X$12</c:f>
              <c:numCache>
                <c:formatCode>0.00</c:formatCode>
                <c:ptCount val="8"/>
                <c:pt idx="0">
                  <c:v>4.5666666666666664</c:v>
                </c:pt>
                <c:pt idx="1">
                  <c:v>4.7966666666666669</c:v>
                </c:pt>
                <c:pt idx="2">
                  <c:v>4.6433333333333335</c:v>
                </c:pt>
                <c:pt idx="3">
                  <c:v>4.5533333333333337</c:v>
                </c:pt>
                <c:pt idx="4">
                  <c:v>4.5166666666666666</c:v>
                </c:pt>
                <c:pt idx="5">
                  <c:v>4.6033333333333335</c:v>
                </c:pt>
                <c:pt idx="6">
                  <c:v>4.5966666666666667</c:v>
                </c:pt>
                <c:pt idx="7">
                  <c:v>4.6399999999999997</c:v>
                </c:pt>
              </c:numCache>
            </c:numRef>
          </c:xVal>
          <c:yVal>
            <c:numRef>
              <c:f>pH!$W$5:$W$12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8A-43B8-952D-2B7F00EF1673}"/>
            </c:ext>
          </c:extLst>
        </c:ser>
        <c:ser>
          <c:idx val="1"/>
          <c:order val="1"/>
          <c:tx>
            <c:strRef>
              <c:f>pH!$V$13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pH!$X$13:$X$20</c:f>
              <c:numCache>
                <c:formatCode>0.00</c:formatCode>
                <c:ptCount val="8"/>
                <c:pt idx="0">
                  <c:v>4.5933333333333337</c:v>
                </c:pt>
                <c:pt idx="1">
                  <c:v>4.7400000000000011</c:v>
                </c:pt>
                <c:pt idx="2">
                  <c:v>4.8366666666666669</c:v>
                </c:pt>
                <c:pt idx="3">
                  <c:v>4.9933333333333332</c:v>
                </c:pt>
                <c:pt idx="4">
                  <c:v>4.9366666666666665</c:v>
                </c:pt>
                <c:pt idx="5">
                  <c:v>4.83</c:v>
                </c:pt>
                <c:pt idx="6">
                  <c:v>4.8099999999999996</c:v>
                </c:pt>
                <c:pt idx="7">
                  <c:v>4.7866666666666671</c:v>
                </c:pt>
              </c:numCache>
            </c:numRef>
          </c:xVal>
          <c:yVal>
            <c:numRef>
              <c:f>pH!$W$13:$W$20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8A-43B8-952D-2B7F00EF1673}"/>
            </c:ext>
          </c:extLst>
        </c:ser>
        <c:ser>
          <c:idx val="2"/>
          <c:order val="2"/>
          <c:tx>
            <c:strRef>
              <c:f>pH!$V$21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pH!$X$21:$X$28</c:f>
              <c:numCache>
                <c:formatCode>0.00</c:formatCode>
                <c:ptCount val="8"/>
                <c:pt idx="0">
                  <c:v>4.5900000000000007</c:v>
                </c:pt>
                <c:pt idx="1">
                  <c:v>4.66</c:v>
                </c:pt>
                <c:pt idx="2">
                  <c:v>4.706666666666667</c:v>
                </c:pt>
                <c:pt idx="3">
                  <c:v>4.75</c:v>
                </c:pt>
                <c:pt idx="4">
                  <c:v>5.0733333333333333</c:v>
                </c:pt>
                <c:pt idx="5">
                  <c:v>4.72</c:v>
                </c:pt>
                <c:pt idx="6">
                  <c:v>4.7633333333333345</c:v>
                </c:pt>
                <c:pt idx="7">
                  <c:v>4.753333333333333</c:v>
                </c:pt>
              </c:numCache>
            </c:numRef>
          </c:xVal>
          <c:yVal>
            <c:numRef>
              <c:f>pH!$W$21:$W$28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8A-43B8-952D-2B7F00EF1673}"/>
            </c:ext>
          </c:extLst>
        </c:ser>
        <c:ser>
          <c:idx val="3"/>
          <c:order val="3"/>
          <c:tx>
            <c:strRef>
              <c:f>pH!$V$29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pH!$X$29:$X$36</c:f>
              <c:numCache>
                <c:formatCode>0.00</c:formatCode>
                <c:ptCount val="8"/>
                <c:pt idx="0">
                  <c:v>4.6100000000000003</c:v>
                </c:pt>
                <c:pt idx="1">
                  <c:v>4.626666666666666</c:v>
                </c:pt>
                <c:pt idx="2">
                  <c:v>4.666666666666667</c:v>
                </c:pt>
                <c:pt idx="3">
                  <c:v>4.6466666666666674</c:v>
                </c:pt>
                <c:pt idx="4">
                  <c:v>4.6533333333333333</c:v>
                </c:pt>
                <c:pt idx="5">
                  <c:v>4.6366666666666667</c:v>
                </c:pt>
                <c:pt idx="6">
                  <c:v>4.6900000000000004</c:v>
                </c:pt>
                <c:pt idx="7">
                  <c:v>4.7533333333333339</c:v>
                </c:pt>
              </c:numCache>
            </c:numRef>
          </c:xVal>
          <c:yVal>
            <c:numRef>
              <c:f>pH!$W$29:$W$36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8A-43B8-952D-2B7F00EF1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6"/>
          <c:min val="4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Cultivo Convencional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527721168669"/>
          <c:y val="0.76876163741817283"/>
          <c:w val="0.20924722788313324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5449964929"/>
          <c:y val="7.9988947972992344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MO!$N$5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MO!$P$5:$P$12</c:f>
              <c:numCache>
                <c:formatCode>0.00</c:formatCode>
                <c:ptCount val="8"/>
                <c:pt idx="0">
                  <c:v>1.4000000000000001</c:v>
                </c:pt>
                <c:pt idx="1">
                  <c:v>1.4066666666666665</c:v>
                </c:pt>
                <c:pt idx="2">
                  <c:v>1.04</c:v>
                </c:pt>
                <c:pt idx="3">
                  <c:v>0.73</c:v>
                </c:pt>
                <c:pt idx="4">
                  <c:v>0.81333333333333335</c:v>
                </c:pt>
                <c:pt idx="5">
                  <c:v>0.70333333333333325</c:v>
                </c:pt>
                <c:pt idx="6">
                  <c:v>0.70333333333333325</c:v>
                </c:pt>
                <c:pt idx="7">
                  <c:v>0.72000000000000008</c:v>
                </c:pt>
              </c:numCache>
            </c:numRef>
          </c:xVal>
          <c:yVal>
            <c:numRef>
              <c:f>MO!$O$5:$O$12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CD-4F62-8FA2-A7CA6503C111}"/>
            </c:ext>
          </c:extLst>
        </c:ser>
        <c:ser>
          <c:idx val="1"/>
          <c:order val="1"/>
          <c:tx>
            <c:strRef>
              <c:f>MO!$N$13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MO!$P$13:$P$20</c:f>
              <c:numCache>
                <c:formatCode>0.00</c:formatCode>
                <c:ptCount val="8"/>
                <c:pt idx="0">
                  <c:v>1.4000000000000001</c:v>
                </c:pt>
                <c:pt idx="1">
                  <c:v>1.3533333333333333</c:v>
                </c:pt>
                <c:pt idx="2">
                  <c:v>1.3333333333333333</c:v>
                </c:pt>
                <c:pt idx="3">
                  <c:v>1</c:v>
                </c:pt>
                <c:pt idx="4">
                  <c:v>0.85</c:v>
                </c:pt>
                <c:pt idx="5">
                  <c:v>0.67333333333333334</c:v>
                </c:pt>
                <c:pt idx="6">
                  <c:v>0.59</c:v>
                </c:pt>
                <c:pt idx="7">
                  <c:v>0.5033333333333333</c:v>
                </c:pt>
              </c:numCache>
            </c:numRef>
          </c:xVal>
          <c:yVal>
            <c:numRef>
              <c:f>MO!$O$13:$O$20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CD-4F62-8FA2-A7CA6503C111}"/>
            </c:ext>
          </c:extLst>
        </c:ser>
        <c:ser>
          <c:idx val="2"/>
          <c:order val="2"/>
          <c:tx>
            <c:strRef>
              <c:f>MO!$N$21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MO!$P$21:$P$28</c:f>
              <c:numCache>
                <c:formatCode>0.00</c:formatCode>
                <c:ptCount val="8"/>
                <c:pt idx="0">
                  <c:v>1.1266666666666667</c:v>
                </c:pt>
                <c:pt idx="1">
                  <c:v>1.0999999999999999</c:v>
                </c:pt>
                <c:pt idx="2">
                  <c:v>0.85333333333333339</c:v>
                </c:pt>
                <c:pt idx="3">
                  <c:v>0.58666666666666667</c:v>
                </c:pt>
                <c:pt idx="4">
                  <c:v>0.53333333333333333</c:v>
                </c:pt>
                <c:pt idx="5">
                  <c:v>0.52</c:v>
                </c:pt>
                <c:pt idx="6">
                  <c:v>0.57333333333333336</c:v>
                </c:pt>
                <c:pt idx="7">
                  <c:v>0.48</c:v>
                </c:pt>
              </c:numCache>
            </c:numRef>
          </c:xVal>
          <c:yVal>
            <c:numRef>
              <c:f>MO!$O$21:$O$28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CD-4F62-8FA2-A7CA6503C111}"/>
            </c:ext>
          </c:extLst>
        </c:ser>
        <c:ser>
          <c:idx val="3"/>
          <c:order val="3"/>
          <c:tx>
            <c:strRef>
              <c:f>MO!$N$29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MO!$P$29:$P$36</c:f>
              <c:numCache>
                <c:formatCode>0.00</c:formatCode>
                <c:ptCount val="8"/>
                <c:pt idx="0">
                  <c:v>1.1266666666666667</c:v>
                </c:pt>
                <c:pt idx="1">
                  <c:v>1.1933333333333334</c:v>
                </c:pt>
                <c:pt idx="2">
                  <c:v>1.0199999999999998</c:v>
                </c:pt>
                <c:pt idx="3">
                  <c:v>0.98</c:v>
                </c:pt>
                <c:pt idx="4">
                  <c:v>0.65333333333333332</c:v>
                </c:pt>
                <c:pt idx="5">
                  <c:v>0.71</c:v>
                </c:pt>
                <c:pt idx="6">
                  <c:v>0.6333333333333333</c:v>
                </c:pt>
                <c:pt idx="7">
                  <c:v>0.60333333333333339</c:v>
                </c:pt>
              </c:numCache>
            </c:numRef>
          </c:xVal>
          <c:yVal>
            <c:numRef>
              <c:f>MO!$O$29:$O$36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CD-4F62-8FA2-A7CA6503C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Plantio Direto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- M.O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 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527721168669"/>
          <c:y val="0.76876163741817283"/>
          <c:w val="0.20924722788313324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MO!$N$5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MO!$T$5:$T$12</c:f>
              <c:numCache>
                <c:formatCode>0.00</c:formatCode>
                <c:ptCount val="8"/>
                <c:pt idx="0">
                  <c:v>1.3533333333333333</c:v>
                </c:pt>
                <c:pt idx="1">
                  <c:v>0.96666666666666667</c:v>
                </c:pt>
                <c:pt idx="2">
                  <c:v>0.44333333333333336</c:v>
                </c:pt>
                <c:pt idx="3">
                  <c:v>0.39666666666666667</c:v>
                </c:pt>
                <c:pt idx="4">
                  <c:v>0.43</c:v>
                </c:pt>
                <c:pt idx="5">
                  <c:v>0.38999999999999996</c:v>
                </c:pt>
                <c:pt idx="6">
                  <c:v>0.49000000000000005</c:v>
                </c:pt>
                <c:pt idx="7">
                  <c:v>0.38999999999999996</c:v>
                </c:pt>
              </c:numCache>
            </c:numRef>
          </c:xVal>
          <c:yVal>
            <c:numRef>
              <c:f>MO!$S$5:$S$12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19-44D2-B82C-42265B0B6C6E}"/>
            </c:ext>
          </c:extLst>
        </c:ser>
        <c:ser>
          <c:idx val="1"/>
          <c:order val="1"/>
          <c:tx>
            <c:strRef>
              <c:f>MO!$N$13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MO!$T$13:$T$20</c:f>
              <c:numCache>
                <c:formatCode>0.00</c:formatCode>
                <c:ptCount val="8"/>
                <c:pt idx="0">
                  <c:v>1.5333333333333332</c:v>
                </c:pt>
                <c:pt idx="1">
                  <c:v>1.1166666666666667</c:v>
                </c:pt>
                <c:pt idx="2">
                  <c:v>0.65333333333333332</c:v>
                </c:pt>
                <c:pt idx="3">
                  <c:v>0.51</c:v>
                </c:pt>
                <c:pt idx="4">
                  <c:v>0.58333333333333337</c:v>
                </c:pt>
                <c:pt idx="5">
                  <c:v>0.60333333333333339</c:v>
                </c:pt>
                <c:pt idx="6">
                  <c:v>0.46666666666666662</c:v>
                </c:pt>
                <c:pt idx="7">
                  <c:v>0.5033333333333333</c:v>
                </c:pt>
              </c:numCache>
            </c:numRef>
          </c:xVal>
          <c:yVal>
            <c:numRef>
              <c:f>MO!$S$13:$S$20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19-44D2-B82C-42265B0B6C6E}"/>
            </c:ext>
          </c:extLst>
        </c:ser>
        <c:ser>
          <c:idx val="2"/>
          <c:order val="2"/>
          <c:tx>
            <c:strRef>
              <c:f>MO!$N$21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MO!$T$21:$T$28</c:f>
              <c:numCache>
                <c:formatCode>0.00</c:formatCode>
                <c:ptCount val="8"/>
                <c:pt idx="0">
                  <c:v>1.5366666666666664</c:v>
                </c:pt>
                <c:pt idx="1">
                  <c:v>1.1533333333333335</c:v>
                </c:pt>
                <c:pt idx="2">
                  <c:v>0.59666666666666657</c:v>
                </c:pt>
                <c:pt idx="3">
                  <c:v>0.58333333333333337</c:v>
                </c:pt>
                <c:pt idx="4">
                  <c:v>0.48666666666666664</c:v>
                </c:pt>
                <c:pt idx="5">
                  <c:v>0.38666666666666671</c:v>
                </c:pt>
                <c:pt idx="6">
                  <c:v>0.42666666666666669</c:v>
                </c:pt>
                <c:pt idx="7">
                  <c:v>0.37999999999999995</c:v>
                </c:pt>
              </c:numCache>
            </c:numRef>
          </c:xVal>
          <c:yVal>
            <c:numRef>
              <c:f>MO!$S$21:$S$28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19-44D2-B82C-42265B0B6C6E}"/>
            </c:ext>
          </c:extLst>
        </c:ser>
        <c:ser>
          <c:idx val="3"/>
          <c:order val="3"/>
          <c:tx>
            <c:strRef>
              <c:f>MO!$N$29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MO!$T$29:$T$36</c:f>
              <c:numCache>
                <c:formatCode>0.00</c:formatCode>
                <c:ptCount val="8"/>
                <c:pt idx="0">
                  <c:v>1.3633333333333333</c:v>
                </c:pt>
                <c:pt idx="1">
                  <c:v>0.97000000000000008</c:v>
                </c:pt>
                <c:pt idx="2">
                  <c:v>0.50333333333333341</c:v>
                </c:pt>
                <c:pt idx="3">
                  <c:v>0.47000000000000003</c:v>
                </c:pt>
                <c:pt idx="4">
                  <c:v>0.44333333333333336</c:v>
                </c:pt>
                <c:pt idx="5">
                  <c:v>0.3666666666666667</c:v>
                </c:pt>
                <c:pt idx="6">
                  <c:v>0.40666666666666668</c:v>
                </c:pt>
                <c:pt idx="7">
                  <c:v>0.37999999999999995</c:v>
                </c:pt>
              </c:numCache>
            </c:numRef>
          </c:xVal>
          <c:yVal>
            <c:numRef>
              <c:f>MO!$S$29:$S$36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19-44D2-B82C-42265B0B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Cultivo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concencional - </a:t>
                </a:r>
                <a:r>
                  <a:rPr lang="pt-BR" b="1">
                    <a:solidFill>
                      <a:sysClr val="windowText" lastClr="000000"/>
                    </a:solidFill>
                  </a:rPr>
                  <a:t>M.O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527721168669"/>
          <c:y val="0.76876163741817283"/>
          <c:w val="0.20924722788313324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40609721087876"/>
          <c:y val="8.2465308308303842E-2"/>
          <c:w val="0.73615648499064212"/>
          <c:h val="0.8959724351330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MO!$N$5</c:f>
              <c:strCache>
                <c:ptCount val="1"/>
                <c:pt idx="0">
                  <c:v>Caupi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MO!$X$5:$X$12</c:f>
              <c:numCache>
                <c:formatCode>0.00</c:formatCode>
                <c:ptCount val="8"/>
                <c:pt idx="0">
                  <c:v>0.87</c:v>
                </c:pt>
                <c:pt idx="1">
                  <c:v>0.61333333333333329</c:v>
                </c:pt>
                <c:pt idx="2">
                  <c:v>0.58333333333333337</c:v>
                </c:pt>
                <c:pt idx="3">
                  <c:v>0.55333333333333334</c:v>
                </c:pt>
                <c:pt idx="4">
                  <c:v>0.48</c:v>
                </c:pt>
                <c:pt idx="5">
                  <c:v>0.47333333333333333</c:v>
                </c:pt>
                <c:pt idx="6">
                  <c:v>0.27333333333333337</c:v>
                </c:pt>
                <c:pt idx="7">
                  <c:v>0.3066666666666667</c:v>
                </c:pt>
              </c:numCache>
            </c:numRef>
          </c:xVal>
          <c:yVal>
            <c:numRef>
              <c:f>MO!$W$5:$W$12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F-43DC-B167-B3924504EB70}"/>
            </c:ext>
          </c:extLst>
        </c:ser>
        <c:ser>
          <c:idx val="1"/>
          <c:order val="1"/>
          <c:tx>
            <c:strRef>
              <c:f>MO!$V$13</c:f>
              <c:strCache>
                <c:ptCount val="1"/>
                <c:pt idx="0">
                  <c:v>Crotalária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MO!$X$13:$X$20</c:f>
              <c:numCache>
                <c:formatCode>0.00</c:formatCode>
                <c:ptCount val="8"/>
                <c:pt idx="0">
                  <c:v>1.38</c:v>
                </c:pt>
                <c:pt idx="1">
                  <c:v>0.89666666666666683</c:v>
                </c:pt>
                <c:pt idx="2">
                  <c:v>0.73000000000000009</c:v>
                </c:pt>
                <c:pt idx="3">
                  <c:v>0.66666666666666663</c:v>
                </c:pt>
                <c:pt idx="4">
                  <c:v>0.48666666666666664</c:v>
                </c:pt>
                <c:pt idx="5">
                  <c:v>0.51999999999999991</c:v>
                </c:pt>
                <c:pt idx="6">
                  <c:v>0.44333333333333336</c:v>
                </c:pt>
                <c:pt idx="7">
                  <c:v>0.48333333333333339</c:v>
                </c:pt>
              </c:numCache>
            </c:numRef>
          </c:xVal>
          <c:yVal>
            <c:numRef>
              <c:f>MO!$W$13:$W$20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0F-43DC-B167-B3924504EB70}"/>
            </c:ext>
          </c:extLst>
        </c:ser>
        <c:ser>
          <c:idx val="2"/>
          <c:order val="2"/>
          <c:tx>
            <c:strRef>
              <c:f>MO!$V$21</c:f>
              <c:strCache>
                <c:ptCount val="1"/>
                <c:pt idx="0">
                  <c:v>Guadu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chemeClr val="tx1">
                    <a:alpha val="99000"/>
                  </a:schemeClr>
                </a:solidFill>
              </a:ln>
              <a:effectLst/>
            </c:spPr>
          </c:marker>
          <c:xVal>
            <c:numRef>
              <c:f>MO!$X$21:$X$28</c:f>
              <c:numCache>
                <c:formatCode>0.00</c:formatCode>
                <c:ptCount val="8"/>
                <c:pt idx="0">
                  <c:v>1.3633333333333333</c:v>
                </c:pt>
                <c:pt idx="1">
                  <c:v>1.0333333333333334</c:v>
                </c:pt>
                <c:pt idx="2">
                  <c:v>0.90333333333333332</c:v>
                </c:pt>
                <c:pt idx="3">
                  <c:v>0.88666666666666671</c:v>
                </c:pt>
                <c:pt idx="4">
                  <c:v>0.61333333333333329</c:v>
                </c:pt>
                <c:pt idx="5">
                  <c:v>0.55999999999999994</c:v>
                </c:pt>
                <c:pt idx="6">
                  <c:v>0.49000000000000005</c:v>
                </c:pt>
                <c:pt idx="7">
                  <c:v>0.55666666666666664</c:v>
                </c:pt>
              </c:numCache>
            </c:numRef>
          </c:xVal>
          <c:yVal>
            <c:numRef>
              <c:f>MO!$W$21:$W$28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0F-43DC-B167-B3924504EB70}"/>
            </c:ext>
          </c:extLst>
        </c:ser>
        <c:ser>
          <c:idx val="3"/>
          <c:order val="3"/>
          <c:tx>
            <c:strRef>
              <c:f>MO!$V$29</c:f>
              <c:strCache>
                <c:ptCount val="1"/>
                <c:pt idx="0">
                  <c:v>Milheto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MO!$X$29:$X$36</c:f>
              <c:numCache>
                <c:formatCode>0.00</c:formatCode>
                <c:ptCount val="8"/>
                <c:pt idx="0">
                  <c:v>1.0233333333333334</c:v>
                </c:pt>
                <c:pt idx="1">
                  <c:v>0.73666666666666669</c:v>
                </c:pt>
                <c:pt idx="2">
                  <c:v>0.59</c:v>
                </c:pt>
                <c:pt idx="3">
                  <c:v>0.51333333333333331</c:v>
                </c:pt>
                <c:pt idx="4">
                  <c:v>0.49333333333333335</c:v>
                </c:pt>
                <c:pt idx="5">
                  <c:v>0.49333333333333335</c:v>
                </c:pt>
                <c:pt idx="6">
                  <c:v>0.35000000000000003</c:v>
                </c:pt>
                <c:pt idx="7">
                  <c:v>0.38666666666666666</c:v>
                </c:pt>
              </c:numCache>
            </c:numRef>
          </c:xVal>
          <c:yVal>
            <c:numRef>
              <c:f>MO!$W$29:$W$36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0F-43DC-B167-B3924504E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2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Cultivo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mínimo- M.O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</c:valAx>
      <c:valAx>
        <c:axId val="2132081039"/>
        <c:scaling>
          <c:orientation val="maxMin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Profundidade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At val="0"/>
        <c:crossBetween val="midCat"/>
        <c:majorUnit val="5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7527721168669"/>
          <c:y val="0.76876163741817283"/>
          <c:w val="0.20924722788313324"/>
          <c:h val="0.1639336613067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366128</xdr:colOff>
      <xdr:row>3</xdr:row>
      <xdr:rowOff>110295</xdr:rowOff>
    </xdr:from>
    <xdr:to>
      <xdr:col>31</xdr:col>
      <xdr:colOff>462281</xdr:colOff>
      <xdr:row>29</xdr:row>
      <xdr:rowOff>196012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A1DBA5-658D-46CB-924B-F211A2E46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304800</xdr:colOff>
      <xdr:row>3</xdr:row>
      <xdr:rowOff>101600</xdr:rowOff>
    </xdr:from>
    <xdr:to>
      <xdr:col>39</xdr:col>
      <xdr:colOff>400953</xdr:colOff>
      <xdr:row>29</xdr:row>
      <xdr:rowOff>187317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E6D571-51AE-4F60-92B1-1CBEC834B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13138</xdr:colOff>
      <xdr:row>3</xdr:row>
      <xdr:rowOff>157655</xdr:rowOff>
    </xdr:from>
    <xdr:to>
      <xdr:col>47</xdr:col>
      <xdr:colOff>109291</xdr:colOff>
      <xdr:row>30</xdr:row>
      <xdr:rowOff>46303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8F6CFA-5774-42A5-9674-6EEF4186C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10885</xdr:colOff>
      <xdr:row>2</xdr:row>
      <xdr:rowOff>163286</xdr:rowOff>
    </xdr:from>
    <xdr:to>
      <xdr:col>31</xdr:col>
      <xdr:colOff>107038</xdr:colOff>
      <xdr:row>29</xdr:row>
      <xdr:rowOff>140146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4F8FA9-C790-4308-A67D-1277C83C4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283029</xdr:colOff>
      <xdr:row>2</xdr:row>
      <xdr:rowOff>119741</xdr:rowOff>
    </xdr:from>
    <xdr:to>
      <xdr:col>38</xdr:col>
      <xdr:colOff>0</xdr:colOff>
      <xdr:row>29</xdr:row>
      <xdr:rowOff>96601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31B58E-9053-4B70-BB36-CC9B613AA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566057</xdr:colOff>
      <xdr:row>3</xdr:row>
      <xdr:rowOff>54429</xdr:rowOff>
    </xdr:from>
    <xdr:to>
      <xdr:col>45</xdr:col>
      <xdr:colOff>52610</xdr:colOff>
      <xdr:row>30</xdr:row>
      <xdr:rowOff>31289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8000DD-4F32-4CEF-B449-48AE2BC68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582084</xdr:colOff>
      <xdr:row>5</xdr:row>
      <xdr:rowOff>31750</xdr:rowOff>
    </xdr:from>
    <xdr:to>
      <xdr:col>57</xdr:col>
      <xdr:colOff>131301</xdr:colOff>
      <xdr:row>23</xdr:row>
      <xdr:rowOff>73364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517B4A-65A6-4FB9-BE6B-48E7F1AD4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175827</xdr:colOff>
      <xdr:row>5</xdr:row>
      <xdr:rowOff>23072</xdr:rowOff>
    </xdr:from>
    <xdr:to>
      <xdr:col>31</xdr:col>
      <xdr:colOff>5206</xdr:colOff>
      <xdr:row>31</xdr:row>
      <xdr:rowOff>177484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37D46D-D2CD-4F5D-9144-71C1BB71A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95841</xdr:colOff>
      <xdr:row>5</xdr:row>
      <xdr:rowOff>54428</xdr:rowOff>
    </xdr:from>
    <xdr:to>
      <xdr:col>35</xdr:col>
      <xdr:colOff>534227</xdr:colOff>
      <xdr:row>31</xdr:row>
      <xdr:rowOff>203515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FBE84AD-8DDE-4CCB-AF57-7DE7E741E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216354</xdr:colOff>
      <xdr:row>5</xdr:row>
      <xdr:rowOff>73479</xdr:rowOff>
    </xdr:from>
    <xdr:to>
      <xdr:col>41</xdr:col>
      <xdr:colOff>42419</xdr:colOff>
      <xdr:row>32</xdr:row>
      <xdr:rowOff>18458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BF72D38-43FD-404A-9127-FDE02A827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3</xdr:row>
      <xdr:rowOff>0</xdr:rowOff>
    </xdr:from>
    <xdr:to>
      <xdr:col>31</xdr:col>
      <xdr:colOff>84204</xdr:colOff>
      <xdr:row>28</xdr:row>
      <xdr:rowOff>113810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83DD29-36DD-4319-997C-2B3EC1337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39</xdr:col>
      <xdr:colOff>84204</xdr:colOff>
      <xdr:row>28</xdr:row>
      <xdr:rowOff>113810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A39B4B-F540-4383-B3ED-A8207D8BA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0</xdr:colOff>
      <xdr:row>3</xdr:row>
      <xdr:rowOff>0</xdr:rowOff>
    </xdr:from>
    <xdr:to>
      <xdr:col>46</xdr:col>
      <xdr:colOff>84204</xdr:colOff>
      <xdr:row>28</xdr:row>
      <xdr:rowOff>113810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651755-FCE6-4FD2-AC8D-0CA8B8A9F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4</xdr:row>
      <xdr:rowOff>0</xdr:rowOff>
    </xdr:from>
    <xdr:to>
      <xdr:col>32</xdr:col>
      <xdr:colOff>144663</xdr:colOff>
      <xdr:row>32</xdr:row>
      <xdr:rowOff>7831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4C12F5-3D4D-43E7-978D-4236D89A9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4</xdr:row>
      <xdr:rowOff>0</xdr:rowOff>
    </xdr:from>
    <xdr:to>
      <xdr:col>39</xdr:col>
      <xdr:colOff>144663</xdr:colOff>
      <xdr:row>32</xdr:row>
      <xdr:rowOff>7831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6324FC-D508-418F-B5E3-CABD9D3A1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374073</xdr:colOff>
      <xdr:row>3</xdr:row>
      <xdr:rowOff>166255</xdr:rowOff>
    </xdr:from>
    <xdr:to>
      <xdr:col>46</xdr:col>
      <xdr:colOff>518736</xdr:colOff>
      <xdr:row>31</xdr:row>
      <xdr:rowOff>174086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CE28AA5-04A6-429B-966D-D44E45344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28c329cf2f6e6d0/Documentos/1%20-%20ACADEMICO/9%20-%20ARTIGOS/1%20-%20ARTIGOS%20PENDENTES/3%20-%20ARTIGOS%20OUTROS%20AUTORES/5%20%20-%20TCC%20JAELSON/2%20-%20DADOS/dados%20para%20rodar%20estatistica%202024%20-%20Copia.xlsx" TargetMode="External"/><Relationship Id="rId1" Type="http://schemas.openxmlformats.org/officeDocument/2006/relationships/externalLinkPath" Target="dados%20para%20rodar%20estatistica%202024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áveis"/>
    </sheetNames>
    <sheetDataSet>
      <sheetData sheetId="0">
        <row r="5">
          <cell r="AA5" t="str">
            <v>Caupi</v>
          </cell>
          <cell r="AB5" t="str">
            <v>Milheto</v>
          </cell>
          <cell r="AC5" t="str">
            <v>Crota</v>
          </cell>
          <cell r="AD5" t="str">
            <v>Guandu</v>
          </cell>
        </row>
        <row r="6">
          <cell r="Y6" t="str">
            <v>CC</v>
          </cell>
          <cell r="Z6" t="str">
            <v>0 - 0.10 m</v>
          </cell>
          <cell r="AA6">
            <v>0.4316666666666667</v>
          </cell>
          <cell r="AB6">
            <v>0.5099999999999999</v>
          </cell>
          <cell r="AC6">
            <v>0.65999999999999992</v>
          </cell>
          <cell r="AD6">
            <v>0.69500000000000006</v>
          </cell>
        </row>
        <row r="7">
          <cell r="Z7" t="str">
            <v>0.10. 0.20 m</v>
          </cell>
          <cell r="AA7">
            <v>0.33</v>
          </cell>
          <cell r="AB7">
            <v>0.32</v>
          </cell>
          <cell r="AC7">
            <v>0.40500000000000003</v>
          </cell>
          <cell r="AD7">
            <v>0.52</v>
          </cell>
        </row>
        <row r="8">
          <cell r="Y8" t="str">
            <v>CM</v>
          </cell>
          <cell r="Z8" t="str">
            <v>0 - 0.10 m</v>
          </cell>
          <cell r="AA8">
            <v>0.67166666666666675</v>
          </cell>
          <cell r="AB8">
            <v>0.67666666666666653</v>
          </cell>
          <cell r="AC8">
            <v>0.7683333333333332</v>
          </cell>
          <cell r="AD8">
            <v>0.77999999999999992</v>
          </cell>
        </row>
        <row r="9">
          <cell r="Z9" t="str">
            <v>0.10. 0.20 m</v>
          </cell>
          <cell r="AA9">
            <v>0.41663333333333324</v>
          </cell>
          <cell r="AB9">
            <v>0.4884666666666666</v>
          </cell>
          <cell r="AC9">
            <v>0.57753999999999994</v>
          </cell>
          <cell r="AD9">
            <v>0.5890333333333333</v>
          </cell>
        </row>
        <row r="10">
          <cell r="Y10" t="str">
            <v>PD</v>
          </cell>
          <cell r="Z10" t="str">
            <v>0 - 0.10 m</v>
          </cell>
          <cell r="AA10">
            <v>0.81333333333333313</v>
          </cell>
          <cell r="AB10">
            <v>0.67</v>
          </cell>
          <cell r="AC10">
            <v>0.79833333333333323</v>
          </cell>
          <cell r="AD10">
            <v>0.64500000000000002</v>
          </cell>
        </row>
        <row r="11">
          <cell r="Z11" t="str">
            <v>0.10. 0.20 m</v>
          </cell>
          <cell r="AA11">
            <v>0.51333333333333331</v>
          </cell>
          <cell r="AB11">
            <v>0.55333333333333334</v>
          </cell>
          <cell r="AC11">
            <v>0.66833333333333333</v>
          </cell>
          <cell r="AD11">
            <v>0.41833333333333333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76"/>
  <sheetViews>
    <sheetView tabSelected="1" topLeftCell="I3" zoomScale="115" zoomScaleNormal="115" workbookViewId="0">
      <selection activeCell="Y16" sqref="Y16"/>
    </sheetView>
  </sheetViews>
  <sheetFormatPr defaultRowHeight="15" x14ac:dyDescent="0.25"/>
  <cols>
    <col min="2" max="2" width="18.5703125" bestFit="1" customWidth="1"/>
    <col min="14" max="14" width="13.85546875" bestFit="1" customWidth="1"/>
    <col min="17" max="17" width="10.5703125" bestFit="1" customWidth="1"/>
    <col min="21" max="21" width="10.5703125" bestFit="1" customWidth="1"/>
  </cols>
  <sheetData>
    <row r="1" spans="1:23" s="4" customFormat="1" ht="15.75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23" ht="15.75" x14ac:dyDescent="0.25">
      <c r="A2" s="8" t="s">
        <v>15</v>
      </c>
      <c r="B2" s="7" t="s">
        <v>10</v>
      </c>
      <c r="C2" s="3">
        <v>68.36</v>
      </c>
      <c r="D2" s="3">
        <v>63.95</v>
      </c>
      <c r="E2" s="3">
        <v>54.39</v>
      </c>
      <c r="F2" s="3">
        <v>36.68</v>
      </c>
      <c r="G2" s="6">
        <v>17.053392000000002</v>
      </c>
      <c r="H2" s="6">
        <v>10.290840000000001</v>
      </c>
      <c r="I2" s="6">
        <v>5.2924319999999989</v>
      </c>
      <c r="J2" s="6">
        <v>4.7043840000000001</v>
      </c>
    </row>
    <row r="3" spans="1:23" ht="15.75" x14ac:dyDescent="0.25">
      <c r="A3" s="8" t="s">
        <v>15</v>
      </c>
      <c r="B3" s="7" t="s">
        <v>10</v>
      </c>
      <c r="C3" s="3">
        <v>55.42</v>
      </c>
      <c r="D3" s="3">
        <v>68.36</v>
      </c>
      <c r="E3" s="3">
        <v>49.98</v>
      </c>
      <c r="F3" s="3">
        <v>38.15</v>
      </c>
      <c r="G3" s="6">
        <v>19.773114</v>
      </c>
      <c r="H3" s="6">
        <v>11.39343</v>
      </c>
      <c r="I3" s="6">
        <v>5.0719140000000005</v>
      </c>
      <c r="J3" s="6">
        <v>3.9693240000000003</v>
      </c>
      <c r="L3" t="s">
        <v>22</v>
      </c>
      <c r="M3" t="s">
        <v>16</v>
      </c>
      <c r="N3" t="s">
        <v>21</v>
      </c>
      <c r="O3" t="s">
        <v>23</v>
      </c>
      <c r="P3" t="s">
        <v>22</v>
      </c>
      <c r="Q3" t="s">
        <v>16</v>
      </c>
      <c r="R3" t="s">
        <v>21</v>
      </c>
      <c r="S3" t="s">
        <v>23</v>
      </c>
      <c r="T3" t="s">
        <v>22</v>
      </c>
      <c r="U3" t="s">
        <v>16</v>
      </c>
      <c r="V3" t="s">
        <v>21</v>
      </c>
      <c r="W3" t="s">
        <v>23</v>
      </c>
    </row>
    <row r="4" spans="1:23" ht="15.75" x14ac:dyDescent="0.25">
      <c r="A4" s="8" t="s">
        <v>15</v>
      </c>
      <c r="B4" s="7" t="s">
        <v>10</v>
      </c>
      <c r="C4" s="3">
        <v>57.11</v>
      </c>
      <c r="D4" s="3">
        <v>55.57</v>
      </c>
      <c r="E4" s="3">
        <v>50.65</v>
      </c>
      <c r="F4" s="3">
        <v>28.67</v>
      </c>
      <c r="G4" s="6">
        <v>25.139052000000003</v>
      </c>
      <c r="H4" s="6">
        <v>13.598610000000001</v>
      </c>
      <c r="I4" s="6">
        <v>6.8360580000000004</v>
      </c>
      <c r="J4" s="6">
        <v>7.3506</v>
      </c>
      <c r="L4" s="8" t="s">
        <v>15</v>
      </c>
      <c r="M4" t="s">
        <v>17</v>
      </c>
      <c r="N4">
        <v>5</v>
      </c>
      <c r="O4" s="10">
        <f>AVERAGE(C2:C4)</f>
        <v>60.29666666666666</v>
      </c>
      <c r="P4" t="s">
        <v>14</v>
      </c>
      <c r="Q4" t="s">
        <v>17</v>
      </c>
      <c r="R4">
        <v>5</v>
      </c>
      <c r="S4" s="10">
        <f>AVERAGE(C14:C16)</f>
        <v>66.473333333333343</v>
      </c>
      <c r="T4" t="s">
        <v>9</v>
      </c>
      <c r="U4" t="s">
        <v>17</v>
      </c>
      <c r="V4">
        <v>5</v>
      </c>
      <c r="W4" s="10">
        <f>AVERAGE(C26:C28)</f>
        <v>63.629999999999995</v>
      </c>
    </row>
    <row r="5" spans="1:23" ht="15.75" x14ac:dyDescent="0.25">
      <c r="A5" s="8" t="s">
        <v>15</v>
      </c>
      <c r="B5" s="7" t="s">
        <v>11</v>
      </c>
      <c r="C5" s="3">
        <v>52.12</v>
      </c>
      <c r="D5" s="3">
        <v>45.65</v>
      </c>
      <c r="E5" s="3">
        <v>49.1</v>
      </c>
      <c r="F5" s="3">
        <v>43.52</v>
      </c>
      <c r="G5" s="6">
        <v>2.4992040000000002</v>
      </c>
      <c r="H5" s="6">
        <v>24.992040000000003</v>
      </c>
      <c r="I5" s="6">
        <v>17.714946000000001</v>
      </c>
      <c r="J5" s="6">
        <v>9.2617560000000001</v>
      </c>
      <c r="L5" s="8" t="s">
        <v>15</v>
      </c>
      <c r="M5" t="s">
        <v>17</v>
      </c>
      <c r="N5">
        <v>10</v>
      </c>
      <c r="O5" s="10">
        <f>AVERAGE(D2:D4)</f>
        <v>62.626666666666665</v>
      </c>
      <c r="P5" t="s">
        <v>14</v>
      </c>
      <c r="Q5" t="s">
        <v>17</v>
      </c>
      <c r="R5">
        <v>10</v>
      </c>
      <c r="S5" s="10">
        <f>AVERAGE(D14:D16)</f>
        <v>47.29</v>
      </c>
      <c r="T5" t="s">
        <v>9</v>
      </c>
      <c r="U5" t="s">
        <v>17</v>
      </c>
      <c r="V5">
        <v>10</v>
      </c>
      <c r="W5" s="10">
        <f>AVERAGE(D26:D28)</f>
        <v>51.28</v>
      </c>
    </row>
    <row r="6" spans="1:23" ht="15.75" x14ac:dyDescent="0.25">
      <c r="A6" s="8" t="s">
        <v>15</v>
      </c>
      <c r="B6" s="7" t="s">
        <v>11</v>
      </c>
      <c r="C6" s="3">
        <v>56.01</v>
      </c>
      <c r="D6" s="3">
        <v>44.1</v>
      </c>
      <c r="E6" s="3">
        <v>46.09</v>
      </c>
      <c r="F6" s="3">
        <v>31.9</v>
      </c>
      <c r="G6" s="6">
        <v>29.990447999999997</v>
      </c>
      <c r="H6" s="6">
        <v>30.137459999999997</v>
      </c>
      <c r="I6" s="6">
        <v>24.771522000000004</v>
      </c>
      <c r="J6" s="6">
        <v>7.9386480000000006</v>
      </c>
      <c r="L6" s="8" t="s">
        <v>15</v>
      </c>
      <c r="M6" t="s">
        <v>17</v>
      </c>
      <c r="N6">
        <v>15</v>
      </c>
      <c r="O6" s="10">
        <f>AVERAGE(E2:E4)</f>
        <v>51.673333333333339</v>
      </c>
      <c r="P6" t="s">
        <v>14</v>
      </c>
      <c r="Q6" t="s">
        <v>17</v>
      </c>
      <c r="R6">
        <v>15</v>
      </c>
      <c r="S6" s="10">
        <f>AVERAGE(E14:E16)</f>
        <v>44.223333333333329</v>
      </c>
      <c r="T6" t="s">
        <v>9</v>
      </c>
      <c r="U6" t="s">
        <v>17</v>
      </c>
      <c r="V6">
        <v>15</v>
      </c>
      <c r="W6" s="10">
        <f>AVERAGE(E26:E28)</f>
        <v>47.146666666666668</v>
      </c>
    </row>
    <row r="7" spans="1:23" ht="15.75" x14ac:dyDescent="0.25">
      <c r="A7" s="8" t="s">
        <v>15</v>
      </c>
      <c r="B7" s="7" t="s">
        <v>11</v>
      </c>
      <c r="C7" s="3">
        <v>46.31</v>
      </c>
      <c r="D7" s="3">
        <v>49.69</v>
      </c>
      <c r="E7" s="3">
        <v>49.91</v>
      </c>
      <c r="F7" s="3">
        <v>39.11</v>
      </c>
      <c r="G7" s="6">
        <v>21.904787999999996</v>
      </c>
      <c r="H7" s="6">
        <v>9.9233100000000007</v>
      </c>
      <c r="I7" s="6">
        <v>3.9693240000000003</v>
      </c>
      <c r="J7" s="6">
        <v>0.73506000000000005</v>
      </c>
      <c r="L7" s="8" t="s">
        <v>15</v>
      </c>
      <c r="M7" t="s">
        <v>17</v>
      </c>
      <c r="N7">
        <v>20</v>
      </c>
      <c r="O7" s="10">
        <f>AVERAGE(F2:F4)</f>
        <v>34.5</v>
      </c>
      <c r="P7" t="s">
        <v>14</v>
      </c>
      <c r="Q7" t="s">
        <v>17</v>
      </c>
      <c r="R7">
        <v>20</v>
      </c>
      <c r="S7" s="10">
        <f>AVERAGE(F14:F16)</f>
        <v>38.053333333333335</v>
      </c>
      <c r="T7" t="s">
        <v>9</v>
      </c>
      <c r="U7" t="s">
        <v>17</v>
      </c>
      <c r="V7">
        <v>20</v>
      </c>
      <c r="W7" s="10">
        <f>AVERAGE(F26:F28)</f>
        <v>56.160000000000004</v>
      </c>
    </row>
    <row r="8" spans="1:23" ht="15.75" x14ac:dyDescent="0.25">
      <c r="A8" s="8" t="s">
        <v>15</v>
      </c>
      <c r="B8" s="7" t="s">
        <v>12</v>
      </c>
      <c r="C8" s="3">
        <v>47.41</v>
      </c>
      <c r="D8" s="3">
        <v>31.61</v>
      </c>
      <c r="E8" s="3">
        <v>35.72</v>
      </c>
      <c r="F8" s="3">
        <v>30.43</v>
      </c>
      <c r="G8" s="6">
        <v>28.152797999999997</v>
      </c>
      <c r="H8" s="6">
        <v>16.979886</v>
      </c>
      <c r="I8" s="6">
        <v>17.641439999999999</v>
      </c>
      <c r="J8" s="6">
        <v>5.51295</v>
      </c>
      <c r="L8" s="8" t="s">
        <v>15</v>
      </c>
      <c r="M8" t="s">
        <v>17</v>
      </c>
      <c r="N8">
        <v>25</v>
      </c>
      <c r="O8" s="10">
        <f>AVERAGE(G2:G4)</f>
        <v>20.655186</v>
      </c>
      <c r="P8" t="s">
        <v>14</v>
      </c>
      <c r="Q8" t="s">
        <v>17</v>
      </c>
      <c r="R8">
        <v>25</v>
      </c>
      <c r="S8" s="10">
        <f>AVERAGE(G14:G16)</f>
        <v>28.961364</v>
      </c>
      <c r="T8" t="s">
        <v>9</v>
      </c>
      <c r="U8" t="s">
        <v>17</v>
      </c>
      <c r="V8">
        <v>25</v>
      </c>
      <c r="W8" s="10">
        <f>AVERAGE(G26:G28)</f>
        <v>76.288550000000001</v>
      </c>
    </row>
    <row r="9" spans="1:23" ht="15.75" x14ac:dyDescent="0.25">
      <c r="A9" s="8" t="s">
        <v>15</v>
      </c>
      <c r="B9" s="7" t="s">
        <v>12</v>
      </c>
      <c r="C9" s="3">
        <v>61.23</v>
      </c>
      <c r="D9" s="3">
        <v>41.16</v>
      </c>
      <c r="E9" s="3">
        <v>33.74</v>
      </c>
      <c r="F9" s="3">
        <v>27.93</v>
      </c>
      <c r="G9" s="6">
        <v>28.593834000000001</v>
      </c>
      <c r="H9" s="6">
        <v>35.870927999999999</v>
      </c>
      <c r="I9" s="6">
        <v>38.149614</v>
      </c>
      <c r="J9" s="6">
        <v>28.152797999999997</v>
      </c>
      <c r="L9" s="8" t="s">
        <v>15</v>
      </c>
      <c r="M9" t="s">
        <v>17</v>
      </c>
      <c r="N9">
        <v>30</v>
      </c>
      <c r="O9" s="10">
        <f>AVERAGE(H2:H4)</f>
        <v>11.760960000000003</v>
      </c>
      <c r="P9" t="s">
        <v>14</v>
      </c>
      <c r="Q9" t="s">
        <v>17</v>
      </c>
      <c r="R9">
        <v>30</v>
      </c>
      <c r="S9" s="10">
        <f>AVERAGE(H14:H16)</f>
        <v>37.635072000000001</v>
      </c>
      <c r="T9" t="s">
        <v>9</v>
      </c>
      <c r="U9" t="s">
        <v>17</v>
      </c>
      <c r="V9">
        <v>30</v>
      </c>
      <c r="W9" s="10">
        <f>AVERAGE(H26:H28)</f>
        <v>70.590649999999997</v>
      </c>
    </row>
    <row r="10" spans="1:23" ht="15.75" x14ac:dyDescent="0.25">
      <c r="A10" s="8" t="s">
        <v>15</v>
      </c>
      <c r="B10" s="7" t="s">
        <v>12</v>
      </c>
      <c r="C10" s="3">
        <v>49.03</v>
      </c>
      <c r="D10" s="3">
        <v>41.68</v>
      </c>
      <c r="E10" s="3">
        <v>57.41</v>
      </c>
      <c r="F10" s="3">
        <v>33.96</v>
      </c>
      <c r="G10" s="6">
        <v>15.142236</v>
      </c>
      <c r="H10" s="6">
        <v>5.2924319999999989</v>
      </c>
      <c r="I10" s="6">
        <v>1.83765</v>
      </c>
      <c r="J10" s="6">
        <v>0.95557800000000004</v>
      </c>
      <c r="L10" s="8" t="s">
        <v>15</v>
      </c>
      <c r="M10" t="s">
        <v>17</v>
      </c>
      <c r="N10">
        <v>35</v>
      </c>
      <c r="O10" s="10">
        <f>AVERAGE(I2:I4)</f>
        <v>5.7334679999999993</v>
      </c>
      <c r="P10" t="s">
        <v>14</v>
      </c>
      <c r="Q10" t="s">
        <v>17</v>
      </c>
      <c r="R10">
        <v>35</v>
      </c>
      <c r="S10" s="10">
        <f>AVERAGE(I14:I16)</f>
        <v>34.719334000000003</v>
      </c>
      <c r="T10" t="s">
        <v>9</v>
      </c>
      <c r="U10" t="s">
        <v>17</v>
      </c>
      <c r="V10">
        <v>35</v>
      </c>
      <c r="W10" s="10">
        <f>AVERAGE(I26:I28)</f>
        <v>61.727250000000005</v>
      </c>
    </row>
    <row r="11" spans="1:23" ht="15.75" x14ac:dyDescent="0.25">
      <c r="A11" s="8" t="s">
        <v>15</v>
      </c>
      <c r="B11" s="7" t="s">
        <v>13</v>
      </c>
      <c r="C11" s="3">
        <v>44.32</v>
      </c>
      <c r="D11" s="3">
        <v>44.77</v>
      </c>
      <c r="E11" s="3">
        <v>35.65</v>
      </c>
      <c r="F11" s="3">
        <v>21.39</v>
      </c>
      <c r="G11" s="6">
        <v>6.5420340000000001</v>
      </c>
      <c r="H11" s="6">
        <v>3.4547820000000002</v>
      </c>
      <c r="I11" s="6">
        <v>2.6462159999999995</v>
      </c>
      <c r="J11" s="6">
        <v>2.4256980000000001</v>
      </c>
      <c r="L11" s="8" t="s">
        <v>15</v>
      </c>
      <c r="M11" t="s">
        <v>17</v>
      </c>
      <c r="N11">
        <v>40</v>
      </c>
      <c r="O11" s="10">
        <f>AVERAGE(J2:J4)</f>
        <v>5.3414360000000007</v>
      </c>
      <c r="P11" t="s">
        <v>14</v>
      </c>
      <c r="Q11" t="s">
        <v>17</v>
      </c>
      <c r="R11">
        <v>40</v>
      </c>
      <c r="S11" s="10">
        <f>AVERAGE(J14:J16)</f>
        <v>39.227702000000001</v>
      </c>
      <c r="T11" t="s">
        <v>9</v>
      </c>
      <c r="U11" t="s">
        <v>17</v>
      </c>
      <c r="V11">
        <v>40</v>
      </c>
      <c r="W11" s="10">
        <f>AVERAGE(J26:J28)</f>
        <v>67.425149999999988</v>
      </c>
    </row>
    <row r="12" spans="1:23" ht="15.75" x14ac:dyDescent="0.25">
      <c r="A12" s="8" t="s">
        <v>15</v>
      </c>
      <c r="B12" s="7" t="s">
        <v>13</v>
      </c>
      <c r="C12" s="3">
        <v>58.29</v>
      </c>
      <c r="D12" s="3">
        <v>42.63</v>
      </c>
      <c r="E12" s="3">
        <v>40.72</v>
      </c>
      <c r="F12" s="3">
        <v>47.56</v>
      </c>
      <c r="G12" s="6">
        <v>40.428300000000007</v>
      </c>
      <c r="H12" s="6">
        <v>21.096222000000001</v>
      </c>
      <c r="I12" s="6">
        <v>10.731876</v>
      </c>
      <c r="J12" s="6">
        <v>3.234264</v>
      </c>
      <c r="L12" s="8" t="s">
        <v>15</v>
      </c>
      <c r="M12" t="s">
        <v>18</v>
      </c>
      <c r="N12">
        <v>5</v>
      </c>
      <c r="O12" s="10">
        <f>AVERAGE(C8:C10)</f>
        <v>52.556666666666665</v>
      </c>
      <c r="P12" t="s">
        <v>14</v>
      </c>
      <c r="Q12" t="s">
        <v>18</v>
      </c>
      <c r="R12">
        <v>5</v>
      </c>
      <c r="S12" s="10">
        <f>AVERAGE(C20:C22)</f>
        <v>45.403333333333336</v>
      </c>
      <c r="T12" t="s">
        <v>9</v>
      </c>
      <c r="U12" t="s">
        <v>18</v>
      </c>
      <c r="V12">
        <v>5</v>
      </c>
      <c r="W12" s="10">
        <f>AVERAGE(C32:C34)</f>
        <v>51.283333333333331</v>
      </c>
    </row>
    <row r="13" spans="1:23" ht="15.75" x14ac:dyDescent="0.25">
      <c r="A13" s="8" t="s">
        <v>15</v>
      </c>
      <c r="B13" s="7" t="s">
        <v>13</v>
      </c>
      <c r="C13" s="3">
        <v>99.23</v>
      </c>
      <c r="D13" s="3">
        <v>72.77</v>
      </c>
      <c r="E13" s="3">
        <v>44.62</v>
      </c>
      <c r="F13" s="3">
        <v>19.04</v>
      </c>
      <c r="G13" s="6">
        <v>7.1300819999999998</v>
      </c>
      <c r="H13" s="6">
        <v>4.8513960000000003</v>
      </c>
      <c r="I13" s="6">
        <v>1.83765</v>
      </c>
      <c r="J13" s="6">
        <v>2.8667340000000001</v>
      </c>
      <c r="L13" s="8" t="s">
        <v>15</v>
      </c>
      <c r="M13" t="s">
        <v>18</v>
      </c>
      <c r="N13">
        <v>10</v>
      </c>
      <c r="O13" s="10">
        <f>AVERAGE(D8:D10)</f>
        <v>38.15</v>
      </c>
      <c r="P13" t="s">
        <v>14</v>
      </c>
      <c r="Q13" t="s">
        <v>18</v>
      </c>
      <c r="R13">
        <v>10</v>
      </c>
      <c r="S13" s="10">
        <f>AVERAGE(D20:D22)</f>
        <v>34.67</v>
      </c>
      <c r="T13" t="s">
        <v>9</v>
      </c>
      <c r="U13" t="s">
        <v>18</v>
      </c>
      <c r="V13">
        <v>10</v>
      </c>
      <c r="W13" s="10">
        <f>AVERAGE(D32:D34)</f>
        <v>49.483333333333327</v>
      </c>
    </row>
    <row r="14" spans="1:23" ht="15.75" x14ac:dyDescent="0.25">
      <c r="A14" s="8" t="s">
        <v>14</v>
      </c>
      <c r="B14" s="7" t="s">
        <v>10</v>
      </c>
      <c r="C14" s="3">
        <v>86</v>
      </c>
      <c r="D14" s="3">
        <v>55.94</v>
      </c>
      <c r="E14" s="3">
        <v>41.82</v>
      </c>
      <c r="F14" s="3">
        <v>41.53</v>
      </c>
      <c r="G14" s="6">
        <v>34.106784000000005</v>
      </c>
      <c r="H14" s="6">
        <v>35.650410000000001</v>
      </c>
      <c r="I14" s="6">
        <v>37.782083999999998</v>
      </c>
      <c r="J14" s="6">
        <v>27.417738</v>
      </c>
      <c r="L14" s="8" t="s">
        <v>15</v>
      </c>
      <c r="M14" t="s">
        <v>18</v>
      </c>
      <c r="N14">
        <v>15</v>
      </c>
      <c r="O14" s="10">
        <f>AVERAGE(E8:E10)</f>
        <v>42.29</v>
      </c>
      <c r="P14" t="s">
        <v>14</v>
      </c>
      <c r="Q14" t="s">
        <v>18</v>
      </c>
      <c r="R14">
        <v>15</v>
      </c>
      <c r="S14" s="10">
        <f>AVERAGE(E20:E22)</f>
        <v>50.316666666666663</v>
      </c>
      <c r="T14" t="s">
        <v>9</v>
      </c>
      <c r="U14" t="s">
        <v>18</v>
      </c>
      <c r="V14">
        <v>15</v>
      </c>
      <c r="W14" s="10">
        <f>AVERAGE(E32:E34)</f>
        <v>40.476666666666667</v>
      </c>
    </row>
    <row r="15" spans="1:23" ht="15.75" x14ac:dyDescent="0.25">
      <c r="A15" s="8" t="s">
        <v>14</v>
      </c>
      <c r="B15" s="7" t="s">
        <v>10</v>
      </c>
      <c r="C15" s="3">
        <v>61.75</v>
      </c>
      <c r="D15" s="3">
        <v>48</v>
      </c>
      <c r="E15" s="3">
        <v>48.44</v>
      </c>
      <c r="F15" s="3">
        <v>49.4</v>
      </c>
      <c r="G15" s="6">
        <v>50.939657999999994</v>
      </c>
      <c r="H15" s="6">
        <v>53.659379999999999</v>
      </c>
      <c r="I15" s="6">
        <v>49.396032000000005</v>
      </c>
      <c r="J15" s="6">
        <v>51.233682000000002</v>
      </c>
      <c r="L15" s="8" t="s">
        <v>15</v>
      </c>
      <c r="M15" t="s">
        <v>18</v>
      </c>
      <c r="N15">
        <v>20</v>
      </c>
      <c r="O15" s="10">
        <f>AVERAGE(F8:F10)</f>
        <v>30.77333333333333</v>
      </c>
      <c r="P15" t="s">
        <v>14</v>
      </c>
      <c r="Q15" t="s">
        <v>18</v>
      </c>
      <c r="R15">
        <v>20</v>
      </c>
      <c r="S15" s="10">
        <f>AVERAGE(F20:F22)</f>
        <v>37.39</v>
      </c>
      <c r="T15" t="s">
        <v>9</v>
      </c>
      <c r="U15" t="s">
        <v>18</v>
      </c>
      <c r="V15">
        <v>20</v>
      </c>
      <c r="W15" s="10">
        <f>AVERAGE(F32:F34)</f>
        <v>39.173333333333332</v>
      </c>
    </row>
    <row r="16" spans="1:23" ht="15.75" x14ac:dyDescent="0.25">
      <c r="A16" s="8" t="s">
        <v>14</v>
      </c>
      <c r="B16" s="7" t="s">
        <v>10</v>
      </c>
      <c r="C16" s="3">
        <v>51.67</v>
      </c>
      <c r="D16" s="3">
        <v>37.93</v>
      </c>
      <c r="E16" s="3">
        <v>42.41</v>
      </c>
      <c r="F16" s="3">
        <v>23.23</v>
      </c>
      <c r="G16" s="6">
        <v>1.83765</v>
      </c>
      <c r="H16" s="6">
        <v>23.595426000000003</v>
      </c>
      <c r="I16" s="6">
        <v>16.979886</v>
      </c>
      <c r="J16" s="6">
        <v>39.031686000000001</v>
      </c>
      <c r="L16" s="8" t="s">
        <v>15</v>
      </c>
      <c r="M16" t="s">
        <v>18</v>
      </c>
      <c r="N16">
        <v>25</v>
      </c>
      <c r="O16" s="10">
        <f>AVERAGE(G8:G10)</f>
        <v>23.962956000000002</v>
      </c>
      <c r="P16" t="s">
        <v>14</v>
      </c>
      <c r="Q16" t="s">
        <v>18</v>
      </c>
      <c r="R16">
        <v>25</v>
      </c>
      <c r="S16" s="10">
        <f>AVERAGE(G20:G22)</f>
        <v>33.587474</v>
      </c>
      <c r="T16" t="s">
        <v>9</v>
      </c>
      <c r="U16" t="s">
        <v>18</v>
      </c>
      <c r="V16">
        <v>25</v>
      </c>
      <c r="W16" s="10">
        <f>AVERAGE(G32:G34)</f>
        <v>47.799049999999994</v>
      </c>
    </row>
    <row r="17" spans="1:23" ht="15.75" x14ac:dyDescent="0.25">
      <c r="A17" s="8" t="s">
        <v>14</v>
      </c>
      <c r="B17" s="7" t="s">
        <v>11</v>
      </c>
      <c r="C17" s="3">
        <v>51.6</v>
      </c>
      <c r="D17" s="3">
        <v>33.590000000000003</v>
      </c>
      <c r="E17" s="3">
        <v>32.78</v>
      </c>
      <c r="F17" s="3">
        <v>34.11</v>
      </c>
      <c r="G17" s="6">
        <v>28.005786000000001</v>
      </c>
      <c r="H17" s="6">
        <v>88.2072</v>
      </c>
      <c r="I17" s="6">
        <v>56.599620000000002</v>
      </c>
      <c r="J17" s="6">
        <v>38.296626000000003</v>
      </c>
      <c r="L17" s="8" t="s">
        <v>15</v>
      </c>
      <c r="M17" t="s">
        <v>18</v>
      </c>
      <c r="N17">
        <v>30</v>
      </c>
      <c r="O17" s="10">
        <f>AVERAGE(H8:H10)</f>
        <v>19.381081999999999</v>
      </c>
      <c r="P17" t="s">
        <v>14</v>
      </c>
      <c r="Q17" t="s">
        <v>18</v>
      </c>
      <c r="R17">
        <v>30</v>
      </c>
      <c r="S17" s="10">
        <f>AVERAGE(H20:H22)</f>
        <v>35.253610000000002</v>
      </c>
      <c r="T17" t="s">
        <v>9</v>
      </c>
      <c r="U17" t="s">
        <v>18</v>
      </c>
      <c r="V17">
        <v>30</v>
      </c>
      <c r="W17" s="10">
        <f>AVERAGE(H32:H34)</f>
        <v>36.719799999999999</v>
      </c>
    </row>
    <row r="18" spans="1:23" ht="15.75" x14ac:dyDescent="0.25">
      <c r="A18" s="8" t="s">
        <v>14</v>
      </c>
      <c r="B18" s="7" t="s">
        <v>11</v>
      </c>
      <c r="C18" s="3">
        <v>88.21</v>
      </c>
      <c r="D18" s="3">
        <v>56.6</v>
      </c>
      <c r="E18" s="3">
        <v>38.299999999999997</v>
      </c>
      <c r="F18" s="3">
        <v>29.99</v>
      </c>
      <c r="G18" s="6">
        <v>27.785267999999999</v>
      </c>
      <c r="H18" s="6">
        <v>20.581680000000002</v>
      </c>
      <c r="I18" s="6">
        <v>18.229488</v>
      </c>
      <c r="J18" s="6">
        <v>16.759368000000002</v>
      </c>
      <c r="L18" s="8" t="s">
        <v>15</v>
      </c>
      <c r="M18" t="s">
        <v>18</v>
      </c>
      <c r="N18">
        <v>35</v>
      </c>
      <c r="O18" s="10">
        <f>AVERAGE(I8:I10)</f>
        <v>19.209568000000001</v>
      </c>
      <c r="P18" t="s">
        <v>14</v>
      </c>
      <c r="Q18" t="s">
        <v>18</v>
      </c>
      <c r="R18">
        <v>35</v>
      </c>
      <c r="S18" s="10">
        <f>AVERAGE(I20:I22)</f>
        <v>11.572110666666665</v>
      </c>
      <c r="T18" t="s">
        <v>9</v>
      </c>
      <c r="U18" t="s">
        <v>18</v>
      </c>
      <c r="V18">
        <v>35</v>
      </c>
      <c r="W18" s="10">
        <f>AVERAGE(I32:I34)</f>
        <v>29.122599999999995</v>
      </c>
    </row>
    <row r="19" spans="1:23" ht="15.75" x14ac:dyDescent="0.25">
      <c r="A19" s="8" t="s">
        <v>14</v>
      </c>
      <c r="B19" s="7" t="s">
        <v>11</v>
      </c>
      <c r="C19" s="3">
        <v>66.16</v>
      </c>
      <c r="D19" s="3">
        <v>63.95</v>
      </c>
      <c r="E19" s="3">
        <v>33.89</v>
      </c>
      <c r="F19" s="3">
        <v>28.23</v>
      </c>
      <c r="G19" s="6">
        <v>32.930687999999996</v>
      </c>
      <c r="H19" s="6">
        <v>27.270726</v>
      </c>
      <c r="I19" s="6">
        <v>23.742438</v>
      </c>
      <c r="J19" s="6">
        <v>22.198812</v>
      </c>
      <c r="L19" s="8" t="s">
        <v>15</v>
      </c>
      <c r="M19" t="s">
        <v>18</v>
      </c>
      <c r="N19">
        <v>40</v>
      </c>
      <c r="O19" s="10">
        <f>AVERAGE(J8:J10)</f>
        <v>11.540441999999999</v>
      </c>
      <c r="P19" t="s">
        <v>14</v>
      </c>
      <c r="Q19" t="s">
        <v>18</v>
      </c>
      <c r="R19">
        <v>40</v>
      </c>
      <c r="S19" s="10">
        <f>AVERAGE(J20:J22)</f>
        <v>16.182167333333336</v>
      </c>
      <c r="T19" t="s">
        <v>9</v>
      </c>
      <c r="U19" t="s">
        <v>18</v>
      </c>
      <c r="V19">
        <v>40</v>
      </c>
      <c r="W19" s="10">
        <f>AVERAGE(J32:J34)</f>
        <v>41.784599999999998</v>
      </c>
    </row>
    <row r="20" spans="1:23" ht="15.75" x14ac:dyDescent="0.25">
      <c r="A20" s="8" t="s">
        <v>14</v>
      </c>
      <c r="B20" s="7" t="s">
        <v>12</v>
      </c>
      <c r="C20" s="3">
        <v>56.16</v>
      </c>
      <c r="D20" s="3">
        <v>45.79</v>
      </c>
      <c r="E20" s="3">
        <v>78.62</v>
      </c>
      <c r="F20" s="3">
        <v>52.78</v>
      </c>
      <c r="G20" s="6">
        <v>13.892633999999999</v>
      </c>
      <c r="H20" s="6">
        <v>4.7778900000000002</v>
      </c>
      <c r="I20" s="6">
        <v>3.234264</v>
      </c>
      <c r="J20" s="6">
        <v>2.8667340000000001</v>
      </c>
      <c r="L20" s="8" t="s">
        <v>15</v>
      </c>
      <c r="M20" t="s">
        <v>19</v>
      </c>
      <c r="N20">
        <v>5</v>
      </c>
      <c r="O20" s="10">
        <f>AVERAGE(C11:C13)</f>
        <v>67.28</v>
      </c>
      <c r="P20" t="s">
        <v>14</v>
      </c>
      <c r="Q20" t="s">
        <v>19</v>
      </c>
      <c r="R20">
        <v>5</v>
      </c>
      <c r="S20" s="10">
        <f>AVERAGE(C23:C25)</f>
        <v>55.963333333333338</v>
      </c>
      <c r="T20" t="s">
        <v>9</v>
      </c>
      <c r="U20" t="s">
        <v>19</v>
      </c>
      <c r="V20">
        <v>5</v>
      </c>
      <c r="W20" s="10">
        <f>AVERAGE(C35:C37)</f>
        <v>92.75</v>
      </c>
    </row>
    <row r="21" spans="1:23" ht="15.75" x14ac:dyDescent="0.25">
      <c r="A21" s="8" t="s">
        <v>14</v>
      </c>
      <c r="B21" s="7" t="s">
        <v>12</v>
      </c>
      <c r="C21" s="3">
        <v>56.45</v>
      </c>
      <c r="D21" s="3">
        <v>41.24</v>
      </c>
      <c r="E21" s="3">
        <v>33.299999999999997</v>
      </c>
      <c r="F21" s="3">
        <v>28.81</v>
      </c>
      <c r="G21" s="6">
        <v>21.904787999999996</v>
      </c>
      <c r="H21" s="6">
        <v>36.017939999999996</v>
      </c>
      <c r="I21" s="6">
        <v>22.272317999999999</v>
      </c>
      <c r="J21" s="6">
        <v>36.973517999999999</v>
      </c>
      <c r="L21" s="8" t="s">
        <v>15</v>
      </c>
      <c r="M21" t="s">
        <v>19</v>
      </c>
      <c r="N21">
        <v>10</v>
      </c>
      <c r="O21" s="10">
        <f>AVERAGE(D11:D13)</f>
        <v>53.390000000000008</v>
      </c>
      <c r="P21" t="s">
        <v>14</v>
      </c>
      <c r="Q21" t="s">
        <v>19</v>
      </c>
      <c r="R21">
        <v>10</v>
      </c>
      <c r="S21" s="10">
        <f>AVERAGE(D23:D25)</f>
        <v>38.516666666666666</v>
      </c>
      <c r="T21" t="s">
        <v>9</v>
      </c>
      <c r="U21" t="s">
        <v>19</v>
      </c>
      <c r="V21">
        <v>10</v>
      </c>
      <c r="W21" s="10">
        <f>AVERAGE(D35:D37)</f>
        <v>77.233333333333334</v>
      </c>
    </row>
    <row r="22" spans="1:23" ht="15.75" x14ac:dyDescent="0.25">
      <c r="A22" s="8" t="s">
        <v>14</v>
      </c>
      <c r="B22" s="7" t="s">
        <v>12</v>
      </c>
      <c r="C22" s="3">
        <v>23.6</v>
      </c>
      <c r="D22" s="3">
        <v>16.98</v>
      </c>
      <c r="E22" s="3">
        <v>39.03</v>
      </c>
      <c r="F22" s="3">
        <v>30.58</v>
      </c>
      <c r="G22" s="6">
        <v>64.965000000000003</v>
      </c>
      <c r="H22" s="6">
        <v>64.965000000000003</v>
      </c>
      <c r="I22" s="6">
        <v>9.2097499999999997</v>
      </c>
      <c r="J22" s="6">
        <v>8.7062500000000007</v>
      </c>
      <c r="L22" s="8" t="s">
        <v>15</v>
      </c>
      <c r="M22" t="s">
        <v>19</v>
      </c>
      <c r="N22">
        <v>15</v>
      </c>
      <c r="O22" s="10">
        <f>AVERAGE(E11:E13)</f>
        <v>40.330000000000005</v>
      </c>
      <c r="P22" t="s">
        <v>14</v>
      </c>
      <c r="Q22" t="s">
        <v>19</v>
      </c>
      <c r="R22">
        <v>15</v>
      </c>
      <c r="S22" s="10">
        <f>AVERAGE(E26:E28)</f>
        <v>47.146666666666668</v>
      </c>
      <c r="T22" t="s">
        <v>9</v>
      </c>
      <c r="U22" t="s">
        <v>19</v>
      </c>
      <c r="V22">
        <v>15</v>
      </c>
      <c r="W22" s="10">
        <f>AVERAGE(E35:E37)</f>
        <v>59.206666666666671</v>
      </c>
    </row>
    <row r="23" spans="1:23" ht="15.75" x14ac:dyDescent="0.25">
      <c r="A23" s="8" t="s">
        <v>14</v>
      </c>
      <c r="B23" s="7" t="s">
        <v>13</v>
      </c>
      <c r="C23" s="3">
        <v>77.180000000000007</v>
      </c>
      <c r="D23" s="3">
        <v>61.75</v>
      </c>
      <c r="E23" s="3">
        <v>41.9</v>
      </c>
      <c r="F23" s="3">
        <v>46.97</v>
      </c>
      <c r="G23" s="6">
        <v>61.965557999999994</v>
      </c>
      <c r="H23" s="6">
        <v>47.484876</v>
      </c>
      <c r="I23" s="6">
        <v>35.870927999999999</v>
      </c>
      <c r="J23" s="6">
        <v>26.976702000000003</v>
      </c>
      <c r="L23" s="8" t="s">
        <v>15</v>
      </c>
      <c r="M23" t="s">
        <v>19</v>
      </c>
      <c r="N23">
        <v>20</v>
      </c>
      <c r="O23" s="10">
        <f>AVERAGE(F11:F13)</f>
        <v>29.330000000000002</v>
      </c>
      <c r="P23" t="s">
        <v>14</v>
      </c>
      <c r="Q23" t="s">
        <v>19</v>
      </c>
      <c r="R23">
        <v>20</v>
      </c>
      <c r="S23" s="10">
        <f>AVERAGE(F26:F28)</f>
        <v>56.160000000000004</v>
      </c>
      <c r="T23" t="s">
        <v>9</v>
      </c>
      <c r="U23" t="s">
        <v>19</v>
      </c>
      <c r="V23">
        <v>20</v>
      </c>
      <c r="W23" s="10">
        <f>AVERAGE(F35:F37)</f>
        <v>57.24666666666667</v>
      </c>
    </row>
    <row r="24" spans="1:23" ht="15.75" x14ac:dyDescent="0.25">
      <c r="A24" s="8" t="s">
        <v>14</v>
      </c>
      <c r="B24" s="7" t="s">
        <v>13</v>
      </c>
      <c r="C24" s="3">
        <v>36.020000000000003</v>
      </c>
      <c r="D24" s="3">
        <v>22.27</v>
      </c>
      <c r="E24" s="3">
        <v>36.97</v>
      </c>
      <c r="F24" s="3">
        <v>48.59</v>
      </c>
      <c r="G24" s="6">
        <v>48.587465999999999</v>
      </c>
      <c r="H24" s="6">
        <v>50.278104000000006</v>
      </c>
      <c r="I24" s="6">
        <v>22.0518</v>
      </c>
      <c r="J24" s="6">
        <v>19.846620000000001</v>
      </c>
      <c r="L24" s="8" t="s">
        <v>15</v>
      </c>
      <c r="M24" t="s">
        <v>19</v>
      </c>
      <c r="N24">
        <v>25</v>
      </c>
      <c r="O24" s="10">
        <f>AVERAGE(G11:G13)</f>
        <v>18.033472000000003</v>
      </c>
      <c r="P24" t="s">
        <v>14</v>
      </c>
      <c r="Q24" t="s">
        <v>19</v>
      </c>
      <c r="R24">
        <v>25</v>
      </c>
      <c r="S24" s="10">
        <f>AVERAGE(G26:G28)</f>
        <v>76.288550000000001</v>
      </c>
      <c r="T24" t="s">
        <v>9</v>
      </c>
      <c r="U24" t="s">
        <v>19</v>
      </c>
      <c r="V24">
        <v>25</v>
      </c>
      <c r="W24" s="10">
        <f>AVERAGE(G35:G37)</f>
        <v>37.108599999999996</v>
      </c>
    </row>
    <row r="25" spans="1:23" ht="15.75" x14ac:dyDescent="0.25">
      <c r="A25" s="8" t="s">
        <v>14</v>
      </c>
      <c r="B25" s="7" t="s">
        <v>13</v>
      </c>
      <c r="C25" s="3">
        <v>54.69</v>
      </c>
      <c r="D25" s="3">
        <v>31.53</v>
      </c>
      <c r="E25" s="3">
        <v>32.340000000000003</v>
      </c>
      <c r="F25" s="3">
        <v>32.78</v>
      </c>
      <c r="G25" s="6">
        <v>32.783676</v>
      </c>
      <c r="H25" s="6">
        <v>27.491243999999998</v>
      </c>
      <c r="I25" s="6">
        <v>30.578496000000001</v>
      </c>
      <c r="J25" s="6">
        <v>31.534073999999997</v>
      </c>
      <c r="L25" s="8" t="s">
        <v>15</v>
      </c>
      <c r="M25" t="s">
        <v>19</v>
      </c>
      <c r="N25">
        <v>30</v>
      </c>
      <c r="O25" s="10">
        <f>AVERAGE(H11:H13)</f>
        <v>9.8008000000000006</v>
      </c>
      <c r="P25" t="s">
        <v>14</v>
      </c>
      <c r="Q25" t="s">
        <v>19</v>
      </c>
      <c r="R25">
        <v>30</v>
      </c>
      <c r="S25" s="10">
        <f>AVERAGE(H26:H28)</f>
        <v>70.590649999999997</v>
      </c>
      <c r="T25" t="s">
        <v>9</v>
      </c>
      <c r="U25" t="s">
        <v>19</v>
      </c>
      <c r="V25">
        <v>30</v>
      </c>
      <c r="W25" s="10">
        <f>AVERAGE(H35:H37)</f>
        <v>37.890416666666667</v>
      </c>
    </row>
    <row r="26" spans="1:23" ht="15.75" x14ac:dyDescent="0.25">
      <c r="A26" s="9" t="s">
        <v>9</v>
      </c>
      <c r="B26" s="7" t="s">
        <v>10</v>
      </c>
      <c r="C26" s="3">
        <v>65.53</v>
      </c>
      <c r="D26" s="3">
        <v>71.22</v>
      </c>
      <c r="E26" s="3">
        <v>60.72</v>
      </c>
      <c r="F26" s="3">
        <v>64.97</v>
      </c>
      <c r="G26" s="6">
        <v>99.713249999999988</v>
      </c>
      <c r="H26" s="6">
        <v>94.965000000000003</v>
      </c>
      <c r="I26" s="6">
        <v>75.971999999999994</v>
      </c>
      <c r="J26" s="6">
        <v>71.223749999999995</v>
      </c>
      <c r="L26" s="8" t="s">
        <v>15</v>
      </c>
      <c r="M26" t="s">
        <v>19</v>
      </c>
      <c r="N26">
        <v>35</v>
      </c>
      <c r="O26" s="10">
        <f>AVERAGE(I11:I13)</f>
        <v>5.0719139999999996</v>
      </c>
      <c r="P26" t="s">
        <v>14</v>
      </c>
      <c r="Q26" t="s">
        <v>19</v>
      </c>
      <c r="R26">
        <v>35</v>
      </c>
      <c r="S26" s="10">
        <f>AVERAGE(I26:I28)</f>
        <v>61.727250000000005</v>
      </c>
      <c r="T26" t="s">
        <v>9</v>
      </c>
      <c r="U26" t="s">
        <v>19</v>
      </c>
      <c r="V26">
        <v>35</v>
      </c>
      <c r="W26" s="10">
        <f>AVERAGE(I35:I37)</f>
        <v>40.823283333333329</v>
      </c>
    </row>
    <row r="27" spans="1:23" ht="15.75" x14ac:dyDescent="0.25">
      <c r="A27" s="9" t="s">
        <v>9</v>
      </c>
      <c r="B27" s="7" t="s">
        <v>10</v>
      </c>
      <c r="C27" s="3">
        <v>85.47</v>
      </c>
      <c r="D27" s="3">
        <v>46.53</v>
      </c>
      <c r="E27" s="3">
        <v>38.94</v>
      </c>
      <c r="F27" s="3">
        <v>33.24</v>
      </c>
      <c r="G27" s="6">
        <v>29.439149999999998</v>
      </c>
      <c r="H27" s="6">
        <v>31.338450000000002</v>
      </c>
      <c r="I27" s="6">
        <v>28.4895</v>
      </c>
      <c r="J27" s="6">
        <v>31.338450000000002</v>
      </c>
      <c r="L27" s="8" t="s">
        <v>15</v>
      </c>
      <c r="M27" t="s">
        <v>19</v>
      </c>
      <c r="N27">
        <v>40</v>
      </c>
      <c r="O27" s="10">
        <f>AVERAGE(J11:J13)</f>
        <v>2.8422320000000005</v>
      </c>
      <c r="P27" t="s">
        <v>14</v>
      </c>
      <c r="Q27" t="s">
        <v>19</v>
      </c>
      <c r="R27">
        <v>40</v>
      </c>
      <c r="S27" s="10">
        <f>AVERAGE(J26:J28)</f>
        <v>67.425149999999988</v>
      </c>
      <c r="T27" t="s">
        <v>9</v>
      </c>
      <c r="U27" t="s">
        <v>19</v>
      </c>
      <c r="V27">
        <v>40</v>
      </c>
      <c r="W27" s="10">
        <f>AVERAGE(J35:J37)</f>
        <v>27.043799999999994</v>
      </c>
    </row>
    <row r="28" spans="1:23" ht="15.75" x14ac:dyDescent="0.25">
      <c r="A28" s="9" t="s">
        <v>9</v>
      </c>
      <c r="B28" s="7" t="s">
        <v>10</v>
      </c>
      <c r="C28" s="3">
        <v>39.89</v>
      </c>
      <c r="D28" s="3">
        <v>36.090000000000003</v>
      </c>
      <c r="E28" s="3">
        <v>41.78</v>
      </c>
      <c r="F28" s="3">
        <v>70.27</v>
      </c>
      <c r="G28" s="6">
        <v>99.713249999999988</v>
      </c>
      <c r="H28" s="6">
        <v>85.468499999999992</v>
      </c>
      <c r="I28" s="6">
        <v>80.720250000000007</v>
      </c>
      <c r="J28" s="6">
        <v>99.713249999999988</v>
      </c>
      <c r="L28" s="8" t="s">
        <v>15</v>
      </c>
      <c r="M28" t="s">
        <v>20</v>
      </c>
      <c r="N28">
        <v>5</v>
      </c>
      <c r="O28" s="10">
        <f>AVERAGE(C5:C7)</f>
        <v>51.48</v>
      </c>
      <c r="P28" t="s">
        <v>14</v>
      </c>
      <c r="Q28" t="s">
        <v>20</v>
      </c>
      <c r="R28">
        <v>5</v>
      </c>
      <c r="S28" s="10">
        <f>AVERAGE(C17:C19)</f>
        <v>68.656666666666666</v>
      </c>
      <c r="T28" t="s">
        <v>9</v>
      </c>
      <c r="U28" t="s">
        <v>20</v>
      </c>
      <c r="V28">
        <v>5</v>
      </c>
      <c r="W28" s="10">
        <f>AVERAGE(C29:C31)</f>
        <v>69.959999999999994</v>
      </c>
    </row>
    <row r="29" spans="1:23" ht="15.75" x14ac:dyDescent="0.25">
      <c r="A29" s="9" t="s">
        <v>9</v>
      </c>
      <c r="B29" s="7" t="s">
        <v>11</v>
      </c>
      <c r="C29" s="3">
        <v>94.97</v>
      </c>
      <c r="D29" s="3">
        <v>109.21</v>
      </c>
      <c r="E29" s="3">
        <v>118.71</v>
      </c>
      <c r="F29" s="3">
        <v>118.45</v>
      </c>
      <c r="G29" s="6">
        <v>128.20274999999998</v>
      </c>
      <c r="H29" s="6">
        <v>118.70625</v>
      </c>
      <c r="I29" s="6">
        <v>132.95099999999999</v>
      </c>
      <c r="J29" s="6">
        <v>104.46149999999999</v>
      </c>
      <c r="L29" s="8" t="s">
        <v>15</v>
      </c>
      <c r="M29" t="s">
        <v>20</v>
      </c>
      <c r="N29">
        <v>10</v>
      </c>
      <c r="O29" s="10">
        <f>AVERAGE(D5:D7)</f>
        <v>46.48</v>
      </c>
      <c r="P29" t="s">
        <v>14</v>
      </c>
      <c r="Q29" t="s">
        <v>20</v>
      </c>
      <c r="R29">
        <v>10</v>
      </c>
      <c r="S29" s="10">
        <f>AVERAGE(D17:D19)</f>
        <v>51.379999999999995</v>
      </c>
      <c r="T29" t="s">
        <v>9</v>
      </c>
      <c r="U29" t="s">
        <v>20</v>
      </c>
      <c r="V29">
        <v>10</v>
      </c>
      <c r="W29" s="10">
        <f>AVERAGE(D29:D31)</f>
        <v>74.073333333333338</v>
      </c>
    </row>
    <row r="30" spans="1:23" ht="15.75" x14ac:dyDescent="0.25">
      <c r="A30" s="9" t="s">
        <v>9</v>
      </c>
      <c r="B30" s="7" t="s">
        <v>11</v>
      </c>
      <c r="C30" s="3">
        <v>56.03</v>
      </c>
      <c r="D30" s="3">
        <v>52.23</v>
      </c>
      <c r="E30" s="3">
        <v>49.38</v>
      </c>
      <c r="F30" s="3">
        <v>53.18</v>
      </c>
      <c r="G30" s="6">
        <v>39.885299999999994</v>
      </c>
      <c r="H30" s="6">
        <v>55.079699999999995</v>
      </c>
      <c r="I30" s="6">
        <v>55.079699999999995</v>
      </c>
      <c r="J30" s="6">
        <v>49.381799999999998</v>
      </c>
      <c r="L30" s="8" t="s">
        <v>15</v>
      </c>
      <c r="M30" t="s">
        <v>20</v>
      </c>
      <c r="N30">
        <v>15</v>
      </c>
      <c r="O30" s="10">
        <f>AVERAGE(E5:E7)</f>
        <v>48.366666666666667</v>
      </c>
      <c r="P30" t="s">
        <v>14</v>
      </c>
      <c r="Q30" t="s">
        <v>20</v>
      </c>
      <c r="R30">
        <v>15</v>
      </c>
      <c r="S30" s="10">
        <f>AVERAGE(E17:E19)</f>
        <v>34.99</v>
      </c>
      <c r="T30" t="s">
        <v>9</v>
      </c>
      <c r="U30" t="s">
        <v>20</v>
      </c>
      <c r="V30">
        <v>15</v>
      </c>
      <c r="W30" s="10">
        <f>AVERAGE(E29:E31)</f>
        <v>81.353333333333339</v>
      </c>
    </row>
    <row r="31" spans="1:23" ht="15.75" x14ac:dyDescent="0.25">
      <c r="A31" s="9" t="s">
        <v>9</v>
      </c>
      <c r="B31" s="7" t="s">
        <v>11</v>
      </c>
      <c r="C31" s="3">
        <v>58.88</v>
      </c>
      <c r="D31" s="3">
        <v>60.78</v>
      </c>
      <c r="E31" s="3">
        <v>75.97</v>
      </c>
      <c r="F31" s="3">
        <v>64.97</v>
      </c>
      <c r="G31" s="6">
        <v>65.525849999999991</v>
      </c>
      <c r="H31" s="6">
        <v>40.834949999999992</v>
      </c>
      <c r="I31" s="6">
        <v>38.935649999999995</v>
      </c>
      <c r="J31" s="6">
        <v>26.590199999999999</v>
      </c>
      <c r="L31" s="8" t="s">
        <v>15</v>
      </c>
      <c r="M31" t="s">
        <v>20</v>
      </c>
      <c r="N31">
        <v>20</v>
      </c>
      <c r="O31" s="10">
        <f>AVERAGE(F5:F7)</f>
        <v>38.176666666666669</v>
      </c>
      <c r="P31" t="s">
        <v>14</v>
      </c>
      <c r="Q31" t="s">
        <v>20</v>
      </c>
      <c r="R31">
        <v>20</v>
      </c>
      <c r="S31" s="10">
        <f>AVERAGE(F17:F19)</f>
        <v>30.776666666666667</v>
      </c>
      <c r="T31" t="s">
        <v>9</v>
      </c>
      <c r="U31" t="s">
        <v>20</v>
      </c>
      <c r="V31">
        <v>20</v>
      </c>
      <c r="W31" s="10">
        <f>AVERAGE(F29:F31)</f>
        <v>78.86666666666666</v>
      </c>
    </row>
    <row r="32" spans="1:23" ht="15.75" x14ac:dyDescent="0.25">
      <c r="A32" s="9" t="s">
        <v>9</v>
      </c>
      <c r="B32" s="7" t="s">
        <v>12</v>
      </c>
      <c r="C32" s="3">
        <v>37.04</v>
      </c>
      <c r="D32" s="3">
        <v>27.84</v>
      </c>
      <c r="E32" s="3">
        <v>29.44</v>
      </c>
      <c r="F32" s="3">
        <v>28.13</v>
      </c>
      <c r="G32" s="6">
        <v>68.374799999999993</v>
      </c>
      <c r="H32" s="6">
        <v>71.223749999999995</v>
      </c>
      <c r="I32" s="6">
        <v>67.425149999999988</v>
      </c>
      <c r="J32" s="6">
        <v>58.878299999999996</v>
      </c>
      <c r="L32" s="8" t="s">
        <v>15</v>
      </c>
      <c r="M32" t="s">
        <v>20</v>
      </c>
      <c r="N32">
        <v>25</v>
      </c>
      <c r="O32" s="10">
        <f>AVERAGE(G5:G7)</f>
        <v>18.13148</v>
      </c>
      <c r="P32" t="s">
        <v>14</v>
      </c>
      <c r="Q32" t="s">
        <v>20</v>
      </c>
      <c r="R32">
        <v>25</v>
      </c>
      <c r="S32" s="10">
        <f>AVERAGE(G17:G19)</f>
        <v>29.573914000000002</v>
      </c>
      <c r="T32" t="s">
        <v>9</v>
      </c>
      <c r="U32" t="s">
        <v>20</v>
      </c>
      <c r="V32">
        <v>25</v>
      </c>
      <c r="W32" s="10">
        <f>AVERAGE(G29:G31)</f>
        <v>77.871299999999991</v>
      </c>
    </row>
    <row r="33" spans="1:23" ht="15.75" x14ac:dyDescent="0.25">
      <c r="A33" s="9" t="s">
        <v>9</v>
      </c>
      <c r="B33" s="7" t="s">
        <v>12</v>
      </c>
      <c r="C33" s="3">
        <v>54.13</v>
      </c>
      <c r="D33" s="3">
        <v>60.78</v>
      </c>
      <c r="E33" s="3">
        <v>50.21</v>
      </c>
      <c r="F33" s="3">
        <v>49.22</v>
      </c>
      <c r="G33" s="6">
        <v>62.676900000000003</v>
      </c>
      <c r="H33" s="6">
        <v>32.2881</v>
      </c>
      <c r="I33" s="6">
        <v>16.14405</v>
      </c>
      <c r="J33" s="6">
        <v>19.942649999999997</v>
      </c>
      <c r="L33" s="8" t="s">
        <v>15</v>
      </c>
      <c r="M33" t="s">
        <v>20</v>
      </c>
      <c r="N33">
        <v>30</v>
      </c>
      <c r="O33" s="10">
        <f>AVERAGE(H5:H7)</f>
        <v>21.684269999999998</v>
      </c>
      <c r="P33" t="s">
        <v>14</v>
      </c>
      <c r="Q33" t="s">
        <v>20</v>
      </c>
      <c r="R33">
        <v>30</v>
      </c>
      <c r="S33" s="10">
        <f>AVERAGE(H17:H19)</f>
        <v>45.353202000000003</v>
      </c>
      <c r="T33" t="s">
        <v>9</v>
      </c>
      <c r="U33" t="s">
        <v>20</v>
      </c>
      <c r="V33">
        <v>30</v>
      </c>
      <c r="W33" s="10">
        <f>AVERAGE(H29:H31)</f>
        <v>71.540299999999988</v>
      </c>
    </row>
    <row r="34" spans="1:23" ht="15.75" x14ac:dyDescent="0.25">
      <c r="A34" s="9" t="s">
        <v>9</v>
      </c>
      <c r="B34" s="7" t="s">
        <v>12</v>
      </c>
      <c r="C34" s="3">
        <v>62.68</v>
      </c>
      <c r="D34" s="3">
        <v>59.83</v>
      </c>
      <c r="E34" s="3">
        <v>41.78</v>
      </c>
      <c r="F34" s="3">
        <v>40.17</v>
      </c>
      <c r="G34" s="6">
        <v>12.34545</v>
      </c>
      <c r="H34" s="6">
        <v>6.6475499999999998</v>
      </c>
      <c r="I34" s="6">
        <v>3.7985999999999995</v>
      </c>
      <c r="J34" s="6">
        <v>46.532849999999996</v>
      </c>
      <c r="L34" s="8" t="s">
        <v>15</v>
      </c>
      <c r="M34" t="s">
        <v>20</v>
      </c>
      <c r="N34">
        <v>35</v>
      </c>
      <c r="O34" s="10">
        <f>AVERAGE(I5:I7)</f>
        <v>15.485264000000001</v>
      </c>
      <c r="P34" t="s">
        <v>14</v>
      </c>
      <c r="Q34" t="s">
        <v>20</v>
      </c>
      <c r="R34">
        <v>35</v>
      </c>
      <c r="S34" s="10">
        <f>AVERAGE(I17:I19)</f>
        <v>32.857182000000002</v>
      </c>
      <c r="T34" t="s">
        <v>9</v>
      </c>
      <c r="U34" t="s">
        <v>20</v>
      </c>
      <c r="V34">
        <v>35</v>
      </c>
      <c r="W34" s="10">
        <f>AVERAGE(I29:I31)</f>
        <v>75.655449999999988</v>
      </c>
    </row>
    <row r="35" spans="1:23" ht="15.75" x14ac:dyDescent="0.25">
      <c r="A35" s="9" t="s">
        <v>9</v>
      </c>
      <c r="B35" s="7" t="s">
        <v>13</v>
      </c>
      <c r="C35" s="3">
        <v>58.88</v>
      </c>
      <c r="D35" s="3">
        <v>40.83</v>
      </c>
      <c r="E35" s="3">
        <v>41.78</v>
      </c>
      <c r="F35" s="3">
        <v>42.73</v>
      </c>
      <c r="G35" s="6">
        <v>30.892299999999999</v>
      </c>
      <c r="H35" s="6">
        <v>46.532849999999996</v>
      </c>
      <c r="I35" s="6">
        <v>70.274100000000004</v>
      </c>
      <c r="J35" s="6">
        <v>36.086699999999993</v>
      </c>
      <c r="L35" s="8" t="s">
        <v>15</v>
      </c>
      <c r="M35" t="s">
        <v>20</v>
      </c>
      <c r="N35">
        <v>40</v>
      </c>
      <c r="O35" s="10">
        <f>AVERAGE(J5:J7)</f>
        <v>5.9784879999999996</v>
      </c>
      <c r="P35" t="s">
        <v>14</v>
      </c>
      <c r="Q35" t="s">
        <v>20</v>
      </c>
      <c r="R35">
        <v>40</v>
      </c>
      <c r="S35" s="10">
        <f>AVERAGE(J17:J19)</f>
        <v>25.751602000000002</v>
      </c>
      <c r="T35" t="s">
        <v>9</v>
      </c>
      <c r="U35" t="s">
        <v>20</v>
      </c>
      <c r="V35">
        <v>40</v>
      </c>
      <c r="W35" s="10">
        <f>AVERAGE(J29:J31)</f>
        <v>60.144500000000001</v>
      </c>
    </row>
    <row r="36" spans="1:23" ht="15.75" x14ac:dyDescent="0.25">
      <c r="A36" s="9" t="s">
        <v>9</v>
      </c>
      <c r="B36" s="7" t="s">
        <v>13</v>
      </c>
      <c r="C36" s="3">
        <v>72.17</v>
      </c>
      <c r="D36" s="3">
        <v>62.68</v>
      </c>
      <c r="E36" s="3">
        <v>55.12</v>
      </c>
      <c r="F36" s="3">
        <v>54.89</v>
      </c>
      <c r="G36" s="6">
        <v>32.951000000000001</v>
      </c>
      <c r="H36" s="6">
        <v>37.699249999999999</v>
      </c>
      <c r="I36" s="6">
        <v>37.951000000000001</v>
      </c>
      <c r="J36" s="6">
        <v>32.699249999999999</v>
      </c>
    </row>
    <row r="37" spans="1:23" ht="15.75" x14ac:dyDescent="0.25">
      <c r="A37" s="9" t="s">
        <v>9</v>
      </c>
      <c r="B37" s="7" t="s">
        <v>13</v>
      </c>
      <c r="C37" s="3">
        <v>147.19999999999999</v>
      </c>
      <c r="D37" s="3">
        <v>128.19</v>
      </c>
      <c r="E37" s="3">
        <v>80.72</v>
      </c>
      <c r="F37" s="3">
        <v>74.12</v>
      </c>
      <c r="G37" s="6">
        <v>47.482499999999995</v>
      </c>
      <c r="H37" s="6">
        <v>29.439149999999998</v>
      </c>
      <c r="I37" s="6">
        <v>14.24475</v>
      </c>
      <c r="J37" s="6">
        <v>12.34545</v>
      </c>
    </row>
    <row r="1048576" spans="19:19" x14ac:dyDescent="0.25">
      <c r="S1048576" s="10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topLeftCell="H1" zoomScale="90" zoomScaleNormal="68" workbookViewId="0">
      <selection activeCell="K3" sqref="K3:V35"/>
    </sheetView>
  </sheetViews>
  <sheetFormatPr defaultRowHeight="15" x14ac:dyDescent="0.25"/>
  <cols>
    <col min="2" max="2" width="18.5703125" bestFit="1" customWidth="1"/>
    <col min="12" max="12" width="10.140625" bestFit="1" customWidth="1"/>
    <col min="13" max="13" width="13" bestFit="1" customWidth="1"/>
    <col min="16" max="16" width="10.140625" bestFit="1" customWidth="1"/>
    <col min="20" max="20" width="10.140625" bestFit="1" customWidth="1"/>
  </cols>
  <sheetData>
    <row r="1" spans="1:22" s="1" customFormat="1" ht="15.75" x14ac:dyDescent="0.25">
      <c r="A1" s="16" t="s">
        <v>0</v>
      </c>
      <c r="B1" s="17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22" ht="15.75" x14ac:dyDescent="0.25">
      <c r="A2" s="8" t="s">
        <v>15</v>
      </c>
      <c r="B2" s="7" t="s">
        <v>10</v>
      </c>
      <c r="C2" s="5">
        <v>107.79</v>
      </c>
      <c r="D2" s="5">
        <v>91.299999999999983</v>
      </c>
      <c r="E2" s="5">
        <v>49.099999999999994</v>
      </c>
      <c r="F2" s="5">
        <v>27</v>
      </c>
      <c r="G2" s="5">
        <v>23.5</v>
      </c>
      <c r="H2" s="5">
        <v>29.2</v>
      </c>
      <c r="I2" s="5">
        <v>33.4</v>
      </c>
      <c r="J2" s="5">
        <v>30.8</v>
      </c>
    </row>
    <row r="3" spans="1:22" ht="15.75" x14ac:dyDescent="0.25">
      <c r="A3" s="8" t="s">
        <v>15</v>
      </c>
      <c r="B3" s="7" t="s">
        <v>10</v>
      </c>
      <c r="C3" s="5">
        <v>58.9</v>
      </c>
      <c r="D3" s="5">
        <v>33.1</v>
      </c>
      <c r="E3" s="5">
        <v>25.8</v>
      </c>
      <c r="F3" s="5">
        <v>16.7</v>
      </c>
      <c r="G3" s="5">
        <v>16.599999999999998</v>
      </c>
      <c r="H3" s="5">
        <v>29.4</v>
      </c>
      <c r="I3" s="5">
        <v>34.700000000000003</v>
      </c>
      <c r="J3" s="5">
        <v>37.5</v>
      </c>
      <c r="K3" t="s">
        <v>22</v>
      </c>
      <c r="L3" t="s">
        <v>16</v>
      </c>
      <c r="M3" t="s">
        <v>21</v>
      </c>
      <c r="N3" t="s">
        <v>24</v>
      </c>
      <c r="O3" t="s">
        <v>22</v>
      </c>
      <c r="P3" t="s">
        <v>16</v>
      </c>
      <c r="Q3" t="s">
        <v>21</v>
      </c>
      <c r="R3" t="s">
        <v>24</v>
      </c>
      <c r="S3" t="s">
        <v>22</v>
      </c>
      <c r="T3" t="s">
        <v>16</v>
      </c>
      <c r="U3" t="s">
        <v>21</v>
      </c>
      <c r="V3" t="s">
        <v>24</v>
      </c>
    </row>
    <row r="4" spans="1:22" ht="15.75" x14ac:dyDescent="0.25">
      <c r="A4" s="8" t="s">
        <v>15</v>
      </c>
      <c r="B4" s="7" t="s">
        <v>10</v>
      </c>
      <c r="C4" s="5">
        <v>67.8</v>
      </c>
      <c r="D4" s="5">
        <v>25.9</v>
      </c>
      <c r="E4" s="5">
        <v>15.4</v>
      </c>
      <c r="F4" s="5">
        <v>15.5</v>
      </c>
      <c r="G4" s="5">
        <v>21.299999999999997</v>
      </c>
      <c r="H4" s="5">
        <v>27.1</v>
      </c>
      <c r="I4" s="5">
        <v>27.1</v>
      </c>
      <c r="J4" s="5">
        <v>26.5</v>
      </c>
      <c r="K4" t="s">
        <v>9</v>
      </c>
      <c r="L4" t="s">
        <v>17</v>
      </c>
      <c r="M4">
        <v>5</v>
      </c>
      <c r="N4" s="10">
        <f>AVERAGE(C2:C4)</f>
        <v>78.163333333333341</v>
      </c>
      <c r="O4" t="s">
        <v>9</v>
      </c>
      <c r="P4" t="s">
        <v>17</v>
      </c>
      <c r="Q4">
        <v>5</v>
      </c>
      <c r="R4" s="10">
        <f>AVERAGE(C14:C16)</f>
        <v>121.23333333333333</v>
      </c>
      <c r="S4" t="s">
        <v>15</v>
      </c>
      <c r="T4" t="s">
        <v>17</v>
      </c>
      <c r="U4">
        <v>5</v>
      </c>
      <c r="V4" s="10">
        <f>AVERAGE(C26:C28)</f>
        <v>83.166666666666671</v>
      </c>
    </row>
    <row r="5" spans="1:22" ht="15.75" x14ac:dyDescent="0.25">
      <c r="A5" s="8" t="s">
        <v>15</v>
      </c>
      <c r="B5" s="7" t="s">
        <v>11</v>
      </c>
      <c r="C5" s="5">
        <v>45.599999999999994</v>
      </c>
      <c r="D5" s="5">
        <v>16.100000000000001</v>
      </c>
      <c r="E5" s="5">
        <v>16.599999999999998</v>
      </c>
      <c r="F5" s="5">
        <v>14.5</v>
      </c>
      <c r="G5" s="5">
        <v>17.100000000000001</v>
      </c>
      <c r="H5" s="5">
        <v>19.700000000000003</v>
      </c>
      <c r="I5" s="5">
        <v>23.3</v>
      </c>
      <c r="J5" s="5">
        <v>30.9</v>
      </c>
      <c r="K5" t="s">
        <v>9</v>
      </c>
      <c r="L5" t="s">
        <v>17</v>
      </c>
      <c r="M5">
        <v>10</v>
      </c>
      <c r="N5" s="10">
        <f>AVERAGE(D2:D4)</f>
        <v>50.099999999999994</v>
      </c>
      <c r="O5" t="s">
        <v>9</v>
      </c>
      <c r="P5" t="s">
        <v>17</v>
      </c>
      <c r="Q5">
        <v>10</v>
      </c>
      <c r="R5" s="10">
        <f>AVERAGE(D14:D16)</f>
        <v>59.199999999999996</v>
      </c>
      <c r="S5" t="s">
        <v>15</v>
      </c>
      <c r="T5" t="s">
        <v>17</v>
      </c>
      <c r="U5">
        <v>10</v>
      </c>
      <c r="V5" s="10">
        <f>AVERAGE(D26:D28)</f>
        <v>36.466666666666669</v>
      </c>
    </row>
    <row r="6" spans="1:22" ht="15.75" x14ac:dyDescent="0.25">
      <c r="A6" s="8" t="s">
        <v>15</v>
      </c>
      <c r="B6" s="7" t="s">
        <v>11</v>
      </c>
      <c r="C6" s="5">
        <v>97.5</v>
      </c>
      <c r="D6" s="5">
        <v>75</v>
      </c>
      <c r="E6" s="5">
        <v>61.099999999999994</v>
      </c>
      <c r="F6" s="5">
        <v>48.4</v>
      </c>
      <c r="G6" s="5">
        <v>33.6</v>
      </c>
      <c r="H6" s="5">
        <v>30.9</v>
      </c>
      <c r="I6" s="5">
        <v>31.8</v>
      </c>
      <c r="J6" s="5">
        <v>31.8</v>
      </c>
      <c r="K6" t="s">
        <v>9</v>
      </c>
      <c r="L6" t="s">
        <v>17</v>
      </c>
      <c r="M6">
        <v>15</v>
      </c>
      <c r="N6" s="10">
        <f>AVERAGE(E2:E4)</f>
        <v>30.099999999999998</v>
      </c>
      <c r="O6" t="s">
        <v>9</v>
      </c>
      <c r="P6" t="s">
        <v>17</v>
      </c>
      <c r="Q6">
        <v>15</v>
      </c>
      <c r="R6" s="10">
        <f>AVERAGE(E14:E16)</f>
        <v>39</v>
      </c>
      <c r="S6" t="s">
        <v>15</v>
      </c>
      <c r="T6" t="s">
        <v>17</v>
      </c>
      <c r="U6">
        <v>15</v>
      </c>
      <c r="V6" s="10">
        <f>AVERAGE(E26:E28)</f>
        <v>27.466666666666665</v>
      </c>
    </row>
    <row r="7" spans="1:22" ht="15.75" x14ac:dyDescent="0.25">
      <c r="A7" s="8" t="s">
        <v>15</v>
      </c>
      <c r="B7" s="7" t="s">
        <v>11</v>
      </c>
      <c r="C7" s="5">
        <v>160</v>
      </c>
      <c r="D7" s="5">
        <v>133.69999999999999</v>
      </c>
      <c r="E7" s="5">
        <v>117.19999999999999</v>
      </c>
      <c r="F7" s="5">
        <v>114.39999999999999</v>
      </c>
      <c r="G7" s="5">
        <v>34.900000000000006</v>
      </c>
      <c r="H7" s="5">
        <v>34.799999999999997</v>
      </c>
      <c r="I7" s="5">
        <v>35.799999999999997</v>
      </c>
      <c r="J7" s="5">
        <v>38.800000000000004</v>
      </c>
      <c r="K7" t="s">
        <v>9</v>
      </c>
      <c r="L7" t="s">
        <v>17</v>
      </c>
      <c r="M7">
        <v>20</v>
      </c>
      <c r="N7" s="10">
        <f>AVERAGE(F2:F4)</f>
        <v>19.733333333333334</v>
      </c>
      <c r="O7" t="s">
        <v>9</v>
      </c>
      <c r="P7" t="s">
        <v>17</v>
      </c>
      <c r="Q7">
        <v>20</v>
      </c>
      <c r="R7" s="10">
        <f>AVERAGE(F14:F16)</f>
        <v>39</v>
      </c>
      <c r="S7" t="s">
        <v>15</v>
      </c>
      <c r="T7" t="s">
        <v>17</v>
      </c>
      <c r="U7">
        <v>20</v>
      </c>
      <c r="V7" s="10">
        <f>AVERAGE(F26:F28)</f>
        <v>28.633333333333336</v>
      </c>
    </row>
    <row r="8" spans="1:22" ht="15.75" x14ac:dyDescent="0.25">
      <c r="A8" s="8" t="s">
        <v>15</v>
      </c>
      <c r="B8" s="7" t="s">
        <v>12</v>
      </c>
      <c r="C8" s="5">
        <v>127</v>
      </c>
      <c r="D8" s="5">
        <v>52.599999999999994</v>
      </c>
      <c r="E8" s="5">
        <v>37</v>
      </c>
      <c r="F8" s="5">
        <v>24.8</v>
      </c>
      <c r="G8" s="5">
        <v>21.8</v>
      </c>
      <c r="H8" s="5">
        <v>17.799999999999997</v>
      </c>
      <c r="I8" s="5">
        <v>15.700000000000001</v>
      </c>
      <c r="J8" s="5">
        <v>23.900000000000002</v>
      </c>
      <c r="K8" t="s">
        <v>9</v>
      </c>
      <c r="L8" t="s">
        <v>17</v>
      </c>
      <c r="M8">
        <v>25</v>
      </c>
      <c r="N8" s="10">
        <f>AVERAGE(G2:G4)</f>
        <v>20.466666666666665</v>
      </c>
      <c r="O8" t="s">
        <v>9</v>
      </c>
      <c r="P8" t="s">
        <v>17</v>
      </c>
      <c r="Q8">
        <v>25</v>
      </c>
      <c r="R8" s="10">
        <f>AVERAGE(G14:G16)</f>
        <v>41.933333333333337</v>
      </c>
      <c r="S8" t="s">
        <v>15</v>
      </c>
      <c r="T8" t="s">
        <v>17</v>
      </c>
      <c r="U8">
        <v>25</v>
      </c>
      <c r="V8" s="10">
        <f>AVERAGE(D26:G28)</f>
        <v>28.375</v>
      </c>
    </row>
    <row r="9" spans="1:22" ht="15.75" x14ac:dyDescent="0.25">
      <c r="A9" s="8" t="s">
        <v>15</v>
      </c>
      <c r="B9" s="7" t="s">
        <v>12</v>
      </c>
      <c r="C9" s="5">
        <v>102.6</v>
      </c>
      <c r="D9" s="5">
        <v>107.6</v>
      </c>
      <c r="E9" s="5">
        <v>57.3</v>
      </c>
      <c r="F9" s="5">
        <v>25.3</v>
      </c>
      <c r="G9" s="5">
        <v>16</v>
      </c>
      <c r="H9" s="5">
        <v>25.6</v>
      </c>
      <c r="I9" s="5">
        <v>29.3</v>
      </c>
      <c r="J9" s="5">
        <v>24.1</v>
      </c>
      <c r="K9" t="s">
        <v>9</v>
      </c>
      <c r="L9" t="s">
        <v>17</v>
      </c>
      <c r="M9">
        <v>30</v>
      </c>
      <c r="N9" s="10">
        <f>AVERAGE(H2:H4)</f>
        <v>28.566666666666663</v>
      </c>
      <c r="O9" t="s">
        <v>9</v>
      </c>
      <c r="P9" t="s">
        <v>17</v>
      </c>
      <c r="Q9">
        <v>30</v>
      </c>
      <c r="R9" s="10">
        <f>AVERAGE(H14:H16)</f>
        <v>46.133333333333333</v>
      </c>
      <c r="S9" t="s">
        <v>15</v>
      </c>
      <c r="T9" t="s">
        <v>17</v>
      </c>
      <c r="U9">
        <v>30</v>
      </c>
      <c r="V9" s="10">
        <f>AVERAGE(H26:H28)</f>
        <v>22.966666666666665</v>
      </c>
    </row>
    <row r="10" spans="1:22" ht="15.75" x14ac:dyDescent="0.25">
      <c r="A10" s="8" t="s">
        <v>15</v>
      </c>
      <c r="B10" s="7" t="s">
        <v>12</v>
      </c>
      <c r="C10" s="5">
        <v>108.8</v>
      </c>
      <c r="D10" s="5">
        <v>29.4</v>
      </c>
      <c r="E10" s="5">
        <v>23.6</v>
      </c>
      <c r="F10" s="5">
        <v>14.8</v>
      </c>
      <c r="G10" s="5">
        <v>15.600000000000001</v>
      </c>
      <c r="H10" s="5">
        <v>22.400000000000002</v>
      </c>
      <c r="I10" s="5">
        <v>27.200000000000003</v>
      </c>
      <c r="J10" s="5">
        <v>29.2</v>
      </c>
      <c r="K10" t="s">
        <v>9</v>
      </c>
      <c r="L10" t="s">
        <v>17</v>
      </c>
      <c r="M10">
        <v>35</v>
      </c>
      <c r="N10" s="10">
        <f>AVERAGE(I2:I4)</f>
        <v>31.733333333333331</v>
      </c>
      <c r="O10" t="s">
        <v>9</v>
      </c>
      <c r="P10" t="s">
        <v>17</v>
      </c>
      <c r="Q10">
        <v>35</v>
      </c>
      <c r="R10" s="10">
        <f>AVERAGE(I14:I16)</f>
        <v>45.366666666666653</v>
      </c>
      <c r="S10" t="s">
        <v>15</v>
      </c>
      <c r="T10" t="s">
        <v>17</v>
      </c>
      <c r="U10">
        <v>35</v>
      </c>
      <c r="V10" s="10">
        <f>AVERAGE(I26:I28)</f>
        <v>25.100000000000005</v>
      </c>
    </row>
    <row r="11" spans="1:22" ht="15.75" x14ac:dyDescent="0.25">
      <c r="A11" s="8" t="s">
        <v>15</v>
      </c>
      <c r="B11" s="7" t="s">
        <v>13</v>
      </c>
      <c r="C11" s="5">
        <v>195.2</v>
      </c>
      <c r="D11" s="5">
        <v>64.099999999999994</v>
      </c>
      <c r="E11" s="5">
        <v>35.1</v>
      </c>
      <c r="F11" s="5">
        <v>37.1</v>
      </c>
      <c r="G11" s="5">
        <v>37</v>
      </c>
      <c r="H11" s="5">
        <v>40</v>
      </c>
      <c r="I11" s="5">
        <v>40.299999999999997</v>
      </c>
      <c r="J11" s="5">
        <v>37.299999999999997</v>
      </c>
      <c r="K11" t="s">
        <v>9</v>
      </c>
      <c r="L11" t="s">
        <v>17</v>
      </c>
      <c r="M11">
        <v>40</v>
      </c>
      <c r="N11" s="10">
        <f>AVERAGE(J2:J4)</f>
        <v>31.599999999999998</v>
      </c>
      <c r="O11" t="s">
        <v>9</v>
      </c>
      <c r="P11" t="s">
        <v>17</v>
      </c>
      <c r="Q11">
        <v>40</v>
      </c>
      <c r="R11" s="10">
        <f>AVERAGE(J14:J16)</f>
        <v>44.866666666666667</v>
      </c>
      <c r="S11" t="s">
        <v>15</v>
      </c>
      <c r="T11" t="s">
        <v>17</v>
      </c>
      <c r="U11">
        <v>40</v>
      </c>
      <c r="V11" s="10">
        <f>AVERAGE(J26:J28)</f>
        <v>25.833333333333332</v>
      </c>
    </row>
    <row r="12" spans="1:22" ht="15.75" x14ac:dyDescent="0.25">
      <c r="A12" s="8" t="s">
        <v>15</v>
      </c>
      <c r="B12" s="7" t="s">
        <v>13</v>
      </c>
      <c r="C12" s="5">
        <v>187.1</v>
      </c>
      <c r="D12" s="5">
        <v>63.3</v>
      </c>
      <c r="E12" s="5">
        <v>49.1</v>
      </c>
      <c r="F12" s="5">
        <v>35</v>
      </c>
      <c r="G12" s="5">
        <v>25.6</v>
      </c>
      <c r="H12" s="5">
        <v>25.299999999999997</v>
      </c>
      <c r="I12" s="5">
        <v>25.299999999999997</v>
      </c>
      <c r="J12" s="5">
        <v>31</v>
      </c>
      <c r="K12" t="s">
        <v>9</v>
      </c>
      <c r="L12" t="s">
        <v>18</v>
      </c>
      <c r="M12">
        <v>5</v>
      </c>
      <c r="N12" s="10">
        <f>AVERAGE(C8:C10)</f>
        <v>112.8</v>
      </c>
      <c r="O12" t="s">
        <v>9</v>
      </c>
      <c r="P12" t="s">
        <v>18</v>
      </c>
      <c r="Q12">
        <v>5</v>
      </c>
      <c r="R12" s="10">
        <f>AVERAGE(C20:C22)</f>
        <v>129.86666666666667</v>
      </c>
      <c r="S12" t="s">
        <v>15</v>
      </c>
      <c r="T12" t="s">
        <v>18</v>
      </c>
      <c r="U12">
        <v>5</v>
      </c>
      <c r="V12" s="10">
        <f>AVERAGE(C32:C34)</f>
        <v>89.033333333333346</v>
      </c>
    </row>
    <row r="13" spans="1:22" ht="15.75" x14ac:dyDescent="0.25">
      <c r="A13" s="8" t="s">
        <v>15</v>
      </c>
      <c r="B13" s="7" t="s">
        <v>13</v>
      </c>
      <c r="C13" s="5">
        <v>114.5</v>
      </c>
      <c r="D13" s="5">
        <v>20.6</v>
      </c>
      <c r="E13" s="5">
        <v>17.8</v>
      </c>
      <c r="F13" s="5">
        <v>20.8</v>
      </c>
      <c r="G13" s="5">
        <v>23.2</v>
      </c>
      <c r="H13" s="5">
        <v>25.8</v>
      </c>
      <c r="I13" s="5">
        <v>24.4</v>
      </c>
      <c r="J13" s="5">
        <v>24.3</v>
      </c>
      <c r="K13" t="s">
        <v>9</v>
      </c>
      <c r="L13" t="s">
        <v>18</v>
      </c>
      <c r="M13">
        <v>10</v>
      </c>
      <c r="N13" s="10">
        <f>AVERAGE(D8:D10)</f>
        <v>63.199999999999996</v>
      </c>
      <c r="O13" t="s">
        <v>9</v>
      </c>
      <c r="P13" t="s">
        <v>18</v>
      </c>
      <c r="Q13">
        <v>10</v>
      </c>
      <c r="R13" s="10">
        <f>AVERAGE(D20:D22)</f>
        <v>95.86666666666666</v>
      </c>
      <c r="S13" t="s">
        <v>15</v>
      </c>
      <c r="T13" t="s">
        <v>18</v>
      </c>
      <c r="U13">
        <v>10</v>
      </c>
      <c r="V13" s="10">
        <f>AVERAGE(D32:D34)</f>
        <v>57.133333333333333</v>
      </c>
    </row>
    <row r="14" spans="1:22" ht="15.75" x14ac:dyDescent="0.25">
      <c r="A14" s="8" t="s">
        <v>14</v>
      </c>
      <c r="B14" s="7" t="s">
        <v>10</v>
      </c>
      <c r="C14" s="5">
        <v>191.9</v>
      </c>
      <c r="D14" s="5">
        <v>94.3</v>
      </c>
      <c r="E14" s="5">
        <v>62.3</v>
      </c>
      <c r="F14" s="5">
        <v>61.8</v>
      </c>
      <c r="G14" s="5">
        <v>56.999999999999993</v>
      </c>
      <c r="H14" s="5">
        <v>58.199999999999996</v>
      </c>
      <c r="I14" s="5">
        <v>52.399999999999991</v>
      </c>
      <c r="J14" s="5">
        <v>48.599999999999994</v>
      </c>
      <c r="K14" t="s">
        <v>9</v>
      </c>
      <c r="L14" t="s">
        <v>18</v>
      </c>
      <c r="M14">
        <v>15</v>
      </c>
      <c r="N14" s="10">
        <f>AVERAGE(E8:E10)</f>
        <v>39.300000000000004</v>
      </c>
      <c r="O14" t="s">
        <v>9</v>
      </c>
      <c r="P14" t="s">
        <v>18</v>
      </c>
      <c r="Q14">
        <v>15</v>
      </c>
      <c r="R14" s="10">
        <f>AVERAGE(E20:E22)</f>
        <v>36.266666666666666</v>
      </c>
      <c r="S14" t="s">
        <v>15</v>
      </c>
      <c r="T14" t="s">
        <v>18</v>
      </c>
      <c r="U14">
        <v>15</v>
      </c>
      <c r="V14" s="10">
        <f>AVERAGE(E32:E34)</f>
        <v>38.966666666666669</v>
      </c>
    </row>
    <row r="15" spans="1:22" ht="15.75" x14ac:dyDescent="0.25">
      <c r="A15" s="8" t="s">
        <v>14</v>
      </c>
      <c r="B15" s="7" t="s">
        <v>10</v>
      </c>
      <c r="C15" s="5">
        <v>106.6</v>
      </c>
      <c r="D15" s="5">
        <v>59.6</v>
      </c>
      <c r="E15" s="5">
        <v>36</v>
      </c>
      <c r="F15" s="5">
        <v>30.7</v>
      </c>
      <c r="G15" s="5">
        <v>32</v>
      </c>
      <c r="H15" s="5">
        <v>35.6</v>
      </c>
      <c r="I15" s="5">
        <v>35.799999999999997</v>
      </c>
      <c r="J15" s="5">
        <v>38</v>
      </c>
      <c r="K15" t="s">
        <v>9</v>
      </c>
      <c r="L15" t="s">
        <v>18</v>
      </c>
      <c r="M15">
        <v>20</v>
      </c>
      <c r="N15" s="10">
        <f>AVERAGE(F8:F10)</f>
        <v>21.633333333333336</v>
      </c>
      <c r="O15" t="s">
        <v>9</v>
      </c>
      <c r="P15" t="s">
        <v>18</v>
      </c>
      <c r="Q15">
        <v>20</v>
      </c>
      <c r="R15" s="10">
        <f>AVERAGE(F20:F22)</f>
        <v>26.97</v>
      </c>
      <c r="S15" t="s">
        <v>15</v>
      </c>
      <c r="T15" t="s">
        <v>18</v>
      </c>
      <c r="U15">
        <v>20</v>
      </c>
      <c r="V15" s="10">
        <f>AVERAGE(F32:F34)</f>
        <v>28.599999999999998</v>
      </c>
    </row>
    <row r="16" spans="1:22" ht="15.75" x14ac:dyDescent="0.25">
      <c r="A16" s="8" t="s">
        <v>14</v>
      </c>
      <c r="B16" s="7" t="s">
        <v>10</v>
      </c>
      <c r="C16" s="5">
        <v>65.2</v>
      </c>
      <c r="D16" s="5">
        <v>23.7</v>
      </c>
      <c r="E16" s="5">
        <v>18.7</v>
      </c>
      <c r="F16" s="5">
        <v>24.5</v>
      </c>
      <c r="G16" s="5">
        <v>36.800000000000004</v>
      </c>
      <c r="H16" s="5">
        <v>44.6</v>
      </c>
      <c r="I16" s="5">
        <v>47.899999999999991</v>
      </c>
      <c r="J16" s="5">
        <v>48</v>
      </c>
      <c r="K16" t="s">
        <v>9</v>
      </c>
      <c r="L16" t="s">
        <v>18</v>
      </c>
      <c r="M16">
        <v>25</v>
      </c>
      <c r="N16" s="10">
        <f>AVERAGE(G8:G10)</f>
        <v>17.8</v>
      </c>
      <c r="O16" t="s">
        <v>9</v>
      </c>
      <c r="P16" t="s">
        <v>18</v>
      </c>
      <c r="Q16">
        <v>25</v>
      </c>
      <c r="R16" s="10">
        <f>AVERAGE(G20:G22)</f>
        <v>34.300000000000004</v>
      </c>
      <c r="S16" t="s">
        <v>15</v>
      </c>
      <c r="T16" t="s">
        <v>18</v>
      </c>
      <c r="U16">
        <v>25</v>
      </c>
      <c r="V16" s="10">
        <f>AVERAGE(G32:G34)</f>
        <v>30.166666666666668</v>
      </c>
    </row>
    <row r="17" spans="1:22" ht="15.75" x14ac:dyDescent="0.25">
      <c r="A17" s="8" t="s">
        <v>14</v>
      </c>
      <c r="B17" s="7" t="s">
        <v>11</v>
      </c>
      <c r="C17" s="5">
        <v>79.7</v>
      </c>
      <c r="D17" s="5">
        <v>26.3</v>
      </c>
      <c r="E17" s="5">
        <v>16.399999999999999</v>
      </c>
      <c r="F17" s="5">
        <v>21.3</v>
      </c>
      <c r="G17" s="5">
        <v>21.6</v>
      </c>
      <c r="H17" s="5">
        <v>23.1</v>
      </c>
      <c r="I17" s="5">
        <v>23.700000000000003</v>
      </c>
      <c r="J17" s="5">
        <v>23.4</v>
      </c>
      <c r="K17" t="s">
        <v>9</v>
      </c>
      <c r="L17" t="s">
        <v>18</v>
      </c>
      <c r="M17">
        <v>30</v>
      </c>
      <c r="N17" s="10">
        <f>AVERAGE(H8:H10)</f>
        <v>21.933333333333334</v>
      </c>
      <c r="O17" t="s">
        <v>9</v>
      </c>
      <c r="P17" t="s">
        <v>18</v>
      </c>
      <c r="Q17">
        <v>30</v>
      </c>
      <c r="R17" s="10">
        <f>AVERAGE(H20:H22)</f>
        <v>35.1</v>
      </c>
      <c r="S17" t="s">
        <v>15</v>
      </c>
      <c r="T17" t="s">
        <v>18</v>
      </c>
      <c r="U17">
        <v>30</v>
      </c>
      <c r="V17" s="10">
        <f>AVERAGE(H32:H34)</f>
        <v>36.1</v>
      </c>
    </row>
    <row r="18" spans="1:22" ht="15.75" x14ac:dyDescent="0.25">
      <c r="A18" s="8" t="s">
        <v>14</v>
      </c>
      <c r="B18" s="7" t="s">
        <v>11</v>
      </c>
      <c r="C18" s="5">
        <v>147.69999999999999</v>
      </c>
      <c r="D18" s="5">
        <v>70.8</v>
      </c>
      <c r="E18" s="5">
        <v>40.799999999999997</v>
      </c>
      <c r="F18" s="5">
        <v>32.4</v>
      </c>
      <c r="G18" s="5">
        <v>32.400000000000006</v>
      </c>
      <c r="H18" s="5">
        <v>40.099999999999994</v>
      </c>
      <c r="I18" s="5">
        <v>40.5</v>
      </c>
      <c r="J18" s="5">
        <v>42.699999999999996</v>
      </c>
      <c r="K18" t="s">
        <v>9</v>
      </c>
      <c r="L18" t="s">
        <v>18</v>
      </c>
      <c r="M18">
        <v>35</v>
      </c>
      <c r="N18" s="10">
        <f>AVERAGE(I8:I10)</f>
        <v>24.066666666666666</v>
      </c>
      <c r="O18" t="s">
        <v>9</v>
      </c>
      <c r="P18" t="s">
        <v>18</v>
      </c>
      <c r="Q18">
        <v>35</v>
      </c>
      <c r="R18" s="10">
        <f>AVERAGE(I20:I22)</f>
        <v>32.566666666666663</v>
      </c>
      <c r="S18" t="s">
        <v>15</v>
      </c>
      <c r="T18" t="s">
        <v>18</v>
      </c>
      <c r="U18">
        <v>35</v>
      </c>
      <c r="V18" s="10">
        <f>AVERAGE(I32:I34)</f>
        <v>38.333333333333336</v>
      </c>
    </row>
    <row r="19" spans="1:22" ht="15.75" x14ac:dyDescent="0.25">
      <c r="A19" s="8" t="s">
        <v>14</v>
      </c>
      <c r="B19" s="7" t="s">
        <v>11</v>
      </c>
      <c r="C19" s="5">
        <v>150.1</v>
      </c>
      <c r="D19" s="5">
        <v>88.8</v>
      </c>
      <c r="E19" s="5">
        <v>70.900000000000006</v>
      </c>
      <c r="F19" s="5">
        <v>48.5</v>
      </c>
      <c r="G19" s="5">
        <v>42.399999999999991</v>
      </c>
      <c r="H19" s="5">
        <v>38.1</v>
      </c>
      <c r="I19" s="5">
        <v>40.299999999999997</v>
      </c>
      <c r="J19" s="5">
        <v>43.699999999999989</v>
      </c>
      <c r="K19" t="s">
        <v>9</v>
      </c>
      <c r="L19" t="s">
        <v>18</v>
      </c>
      <c r="M19">
        <v>40</v>
      </c>
      <c r="N19" s="10">
        <f>AVERAGE(J8:J10)</f>
        <v>25.733333333333334</v>
      </c>
      <c r="O19" t="s">
        <v>9</v>
      </c>
      <c r="P19" t="s">
        <v>18</v>
      </c>
      <c r="Q19">
        <v>40</v>
      </c>
      <c r="R19" s="10">
        <f>AVERAGE(J20:J22)</f>
        <v>31.366666666666664</v>
      </c>
      <c r="S19" t="s">
        <v>15</v>
      </c>
      <c r="T19" t="s">
        <v>18</v>
      </c>
      <c r="U19">
        <v>40</v>
      </c>
      <c r="V19" s="10">
        <f>AVERAGE(J32:J34)</f>
        <v>39.266666666666659</v>
      </c>
    </row>
    <row r="20" spans="1:22" ht="15.75" x14ac:dyDescent="0.25">
      <c r="A20" s="8" t="s">
        <v>14</v>
      </c>
      <c r="B20" s="7" t="s">
        <v>12</v>
      </c>
      <c r="C20" s="5">
        <v>120.2</v>
      </c>
      <c r="D20" s="5">
        <v>103.1</v>
      </c>
      <c r="E20" s="5">
        <v>30.8</v>
      </c>
      <c r="F20" s="5">
        <v>17.399999999999999</v>
      </c>
      <c r="G20" s="5">
        <v>27.5</v>
      </c>
      <c r="H20" s="5">
        <v>30.6</v>
      </c>
      <c r="I20" s="5">
        <v>29.3</v>
      </c>
      <c r="J20" s="5">
        <v>25.2</v>
      </c>
      <c r="K20" t="s">
        <v>9</v>
      </c>
      <c r="L20" t="s">
        <v>19</v>
      </c>
      <c r="M20">
        <v>5</v>
      </c>
      <c r="N20" s="10">
        <f>AVERAGE(C11:C13)</f>
        <v>165.6</v>
      </c>
      <c r="O20" t="s">
        <v>9</v>
      </c>
      <c r="P20" t="s">
        <v>19</v>
      </c>
      <c r="Q20">
        <v>5</v>
      </c>
      <c r="R20" s="10">
        <f>AVERAGE(C23:C25)</f>
        <v>121.53333333333335</v>
      </c>
      <c r="S20" t="s">
        <v>15</v>
      </c>
      <c r="T20" t="s">
        <v>19</v>
      </c>
      <c r="U20">
        <v>5</v>
      </c>
      <c r="V20" s="10">
        <f>AVERAGE(C35:C37)</f>
        <v>92.5</v>
      </c>
    </row>
    <row r="21" spans="1:22" ht="15.75" x14ac:dyDescent="0.25">
      <c r="A21" s="8" t="s">
        <v>14</v>
      </c>
      <c r="B21" s="7" t="s">
        <v>12</v>
      </c>
      <c r="C21" s="5">
        <v>98.4</v>
      </c>
      <c r="D21" s="5">
        <v>108.8</v>
      </c>
      <c r="E21" s="5">
        <v>33.299999999999997</v>
      </c>
      <c r="F21" s="5">
        <v>28.81</v>
      </c>
      <c r="G21" s="5">
        <v>40.9</v>
      </c>
      <c r="H21" s="5">
        <v>41</v>
      </c>
      <c r="I21" s="5">
        <v>41.199999999999989</v>
      </c>
      <c r="J21" s="5">
        <v>38.6</v>
      </c>
      <c r="K21" t="s">
        <v>9</v>
      </c>
      <c r="L21" t="s">
        <v>19</v>
      </c>
      <c r="M21">
        <v>10</v>
      </c>
      <c r="N21" s="10">
        <f>AVERAGE(D11:D13)</f>
        <v>49.333333333333336</v>
      </c>
      <c r="O21" t="s">
        <v>9</v>
      </c>
      <c r="P21" t="s">
        <v>19</v>
      </c>
      <c r="Q21">
        <v>10</v>
      </c>
      <c r="R21" s="10">
        <f>AVERAGE(D23:D25)</f>
        <v>64.100000000000009</v>
      </c>
      <c r="S21" t="s">
        <v>15</v>
      </c>
      <c r="T21" t="s">
        <v>19</v>
      </c>
      <c r="U21">
        <v>10</v>
      </c>
      <c r="V21" s="10">
        <f>AVERAGE(D35:D37)</f>
        <v>58.233333333333327</v>
      </c>
    </row>
    <row r="22" spans="1:22" ht="15.75" x14ac:dyDescent="0.25">
      <c r="A22" s="8" t="s">
        <v>14</v>
      </c>
      <c r="B22" s="7" t="s">
        <v>12</v>
      </c>
      <c r="C22" s="5">
        <v>171</v>
      </c>
      <c r="D22" s="5">
        <v>75.7</v>
      </c>
      <c r="E22" s="5">
        <v>44.7</v>
      </c>
      <c r="F22" s="5">
        <v>34.700000000000003</v>
      </c>
      <c r="G22" s="5">
        <v>34.5</v>
      </c>
      <c r="H22" s="5">
        <v>33.700000000000003</v>
      </c>
      <c r="I22" s="5">
        <v>27.200000000000003</v>
      </c>
      <c r="J22" s="5">
        <v>30.299999999999997</v>
      </c>
      <c r="K22" t="s">
        <v>9</v>
      </c>
      <c r="L22" t="s">
        <v>19</v>
      </c>
      <c r="M22">
        <v>15</v>
      </c>
      <c r="N22" s="10">
        <f>AVERAGE(E11:E13)</f>
        <v>34</v>
      </c>
      <c r="O22" t="s">
        <v>9</v>
      </c>
      <c r="P22" t="s">
        <v>19</v>
      </c>
      <c r="Q22">
        <v>15</v>
      </c>
      <c r="R22" s="10">
        <f>AVERAGE(E23:E25)</f>
        <v>38.466666666666669</v>
      </c>
      <c r="S22" t="s">
        <v>15</v>
      </c>
      <c r="T22" t="s">
        <v>19</v>
      </c>
      <c r="U22">
        <v>15</v>
      </c>
      <c r="V22" s="10">
        <f>AVERAGE(E35:E37)</f>
        <v>42.466666666666661</v>
      </c>
    </row>
    <row r="23" spans="1:22" ht="15.75" x14ac:dyDescent="0.25">
      <c r="A23" s="8" t="s">
        <v>14</v>
      </c>
      <c r="B23" s="7" t="s">
        <v>13</v>
      </c>
      <c r="C23" s="5">
        <v>135.4</v>
      </c>
      <c r="D23" s="5">
        <v>33.1</v>
      </c>
      <c r="E23" s="5">
        <v>15</v>
      </c>
      <c r="F23" s="5">
        <v>16.5</v>
      </c>
      <c r="G23" s="5">
        <v>25.9</v>
      </c>
      <c r="H23" s="5">
        <v>22.200000000000003</v>
      </c>
      <c r="I23" s="5">
        <v>24.5</v>
      </c>
      <c r="J23" s="5">
        <v>26.8</v>
      </c>
      <c r="K23" t="s">
        <v>9</v>
      </c>
      <c r="L23" t="s">
        <v>19</v>
      </c>
      <c r="M23">
        <v>20</v>
      </c>
      <c r="N23" s="10">
        <f>AVERAGE(F11:F13)</f>
        <v>30.966666666666665</v>
      </c>
      <c r="O23" t="s">
        <v>9</v>
      </c>
      <c r="P23" t="s">
        <v>19</v>
      </c>
      <c r="Q23">
        <v>20</v>
      </c>
      <c r="R23" s="10">
        <f>AVERAGE(F23:F25)</f>
        <v>24.466666666666669</v>
      </c>
      <c r="S23" t="s">
        <v>15</v>
      </c>
      <c r="T23" t="s">
        <v>19</v>
      </c>
      <c r="U23">
        <v>20</v>
      </c>
      <c r="V23" s="10">
        <f>AVERAGE(F35:F37)</f>
        <v>31.133333333333329</v>
      </c>
    </row>
    <row r="24" spans="1:22" ht="15.75" x14ac:dyDescent="0.25">
      <c r="A24" s="8" t="s">
        <v>14</v>
      </c>
      <c r="B24" s="7" t="s">
        <v>13</v>
      </c>
      <c r="C24" s="5">
        <v>133.9</v>
      </c>
      <c r="D24" s="5">
        <v>89.5</v>
      </c>
      <c r="E24" s="5">
        <v>45.2</v>
      </c>
      <c r="F24" s="5">
        <v>20.2</v>
      </c>
      <c r="G24" s="5">
        <v>20.2</v>
      </c>
      <c r="H24" s="5">
        <v>16.100000000000001</v>
      </c>
      <c r="I24" s="5">
        <v>25.1</v>
      </c>
      <c r="J24" s="5">
        <v>23.2</v>
      </c>
      <c r="K24" t="s">
        <v>9</v>
      </c>
      <c r="L24" t="s">
        <v>19</v>
      </c>
      <c r="M24">
        <v>25</v>
      </c>
      <c r="N24" s="10">
        <f>AVERAGE(G11:G13)</f>
        <v>28.599999999999998</v>
      </c>
      <c r="O24" t="s">
        <v>9</v>
      </c>
      <c r="P24" t="s">
        <v>19</v>
      </c>
      <c r="Q24">
        <v>25</v>
      </c>
      <c r="R24" s="10">
        <f>AVERAGE(G23:G25)</f>
        <v>27.599999999999998</v>
      </c>
      <c r="S24" t="s">
        <v>15</v>
      </c>
      <c r="T24" t="s">
        <v>19</v>
      </c>
      <c r="U24">
        <v>25</v>
      </c>
      <c r="V24" s="10">
        <f>AVERAGE(G35:G37)</f>
        <v>24.633333333333329</v>
      </c>
    </row>
    <row r="25" spans="1:22" ht="15.75" x14ac:dyDescent="0.25">
      <c r="A25" s="8" t="s">
        <v>14</v>
      </c>
      <c r="B25" s="7" t="s">
        <v>13</v>
      </c>
      <c r="C25" s="5">
        <v>95.3</v>
      </c>
      <c r="D25" s="5">
        <v>69.7</v>
      </c>
      <c r="E25" s="5">
        <v>55.2</v>
      </c>
      <c r="F25" s="5">
        <v>36.700000000000003</v>
      </c>
      <c r="G25" s="5">
        <v>36.700000000000003</v>
      </c>
      <c r="H25" s="5">
        <v>51.8</v>
      </c>
      <c r="I25" s="5">
        <v>44.899999999999991</v>
      </c>
      <c r="J25" s="5">
        <v>44.899999999999991</v>
      </c>
      <c r="K25" t="s">
        <v>9</v>
      </c>
      <c r="L25" t="s">
        <v>19</v>
      </c>
      <c r="M25">
        <v>30</v>
      </c>
      <c r="N25" s="10">
        <f>AVERAGE(H11:H13)</f>
        <v>30.366666666666664</v>
      </c>
      <c r="O25" t="s">
        <v>9</v>
      </c>
      <c r="P25" t="s">
        <v>19</v>
      </c>
      <c r="Q25">
        <v>30</v>
      </c>
      <c r="R25" s="10">
        <f>AVERAGE(H23:H25)</f>
        <v>30.033333333333331</v>
      </c>
      <c r="S25" t="s">
        <v>15</v>
      </c>
      <c r="T25" t="s">
        <v>19</v>
      </c>
      <c r="U25">
        <v>30</v>
      </c>
      <c r="V25" s="10">
        <f>AVERAGE(H35:H37)</f>
        <v>23.266666666666666</v>
      </c>
    </row>
    <row r="26" spans="1:22" ht="15.75" x14ac:dyDescent="0.25">
      <c r="A26" s="9" t="s">
        <v>9</v>
      </c>
      <c r="B26" s="7" t="s">
        <v>10</v>
      </c>
      <c r="C26" s="5">
        <v>93.8</v>
      </c>
      <c r="D26" s="5">
        <v>60.7</v>
      </c>
      <c r="E26" s="5">
        <v>44.1</v>
      </c>
      <c r="F26" s="5">
        <v>25.2</v>
      </c>
      <c r="G26" s="5">
        <v>16.100000000000001</v>
      </c>
      <c r="H26" s="5">
        <v>14.2</v>
      </c>
      <c r="I26" s="5">
        <v>16.3</v>
      </c>
      <c r="J26" s="5">
        <v>18.5</v>
      </c>
      <c r="K26" t="s">
        <v>9</v>
      </c>
      <c r="L26" t="s">
        <v>19</v>
      </c>
      <c r="M26">
        <v>35</v>
      </c>
      <c r="N26" s="10">
        <f>AVERAGE(I11:I13)</f>
        <v>30</v>
      </c>
      <c r="O26" t="s">
        <v>9</v>
      </c>
      <c r="P26" t="s">
        <v>19</v>
      </c>
      <c r="Q26">
        <v>35</v>
      </c>
      <c r="R26" s="10">
        <f>AVERAGE(I23:I25)</f>
        <v>31.5</v>
      </c>
      <c r="S26" t="s">
        <v>15</v>
      </c>
      <c r="T26" t="s">
        <v>19</v>
      </c>
      <c r="U26">
        <v>35</v>
      </c>
      <c r="V26" s="10">
        <f>AVERAGE(I35:I37)</f>
        <v>26.8</v>
      </c>
    </row>
    <row r="27" spans="1:22" ht="15.75" x14ac:dyDescent="0.25">
      <c r="A27" s="9" t="s">
        <v>9</v>
      </c>
      <c r="B27" s="7" t="s">
        <v>10</v>
      </c>
      <c r="C27" s="5">
        <v>92.9</v>
      </c>
      <c r="D27" s="5">
        <v>24.3</v>
      </c>
      <c r="E27" s="5">
        <v>21</v>
      </c>
      <c r="F27" s="5">
        <v>17.3</v>
      </c>
      <c r="G27" s="5">
        <v>22.3</v>
      </c>
      <c r="H27" s="5">
        <v>26.099999999999998</v>
      </c>
      <c r="I27" s="5">
        <v>30.1</v>
      </c>
      <c r="J27" s="5">
        <v>31.099999999999998</v>
      </c>
      <c r="K27" t="s">
        <v>9</v>
      </c>
      <c r="L27" t="s">
        <v>19</v>
      </c>
      <c r="M27">
        <v>40</v>
      </c>
      <c r="N27" s="10">
        <f>AVERAGE(J11:J13)</f>
        <v>30.866666666666664</v>
      </c>
      <c r="O27" t="s">
        <v>9</v>
      </c>
      <c r="P27" t="s">
        <v>19</v>
      </c>
      <c r="Q27">
        <v>40</v>
      </c>
      <c r="R27" s="10">
        <f>AVERAGE(J23:J25)</f>
        <v>31.633333333333329</v>
      </c>
      <c r="S27" t="s">
        <v>15</v>
      </c>
      <c r="T27" t="s">
        <v>19</v>
      </c>
      <c r="U27">
        <v>40</v>
      </c>
      <c r="V27" s="10">
        <f>AVERAGE(J35:J37)</f>
        <v>26.900000000000002</v>
      </c>
    </row>
    <row r="28" spans="1:22" ht="15.75" x14ac:dyDescent="0.25">
      <c r="A28" s="9" t="s">
        <v>9</v>
      </c>
      <c r="B28" s="7" t="s">
        <v>10</v>
      </c>
      <c r="C28" s="5">
        <v>62.8</v>
      </c>
      <c r="D28" s="5">
        <v>24.4</v>
      </c>
      <c r="E28" s="5">
        <v>17.3</v>
      </c>
      <c r="F28" s="5">
        <v>43.4</v>
      </c>
      <c r="G28" s="5">
        <v>24.4</v>
      </c>
      <c r="H28" s="5">
        <v>28.599999999999998</v>
      </c>
      <c r="I28" s="5">
        <v>28.900000000000002</v>
      </c>
      <c r="J28" s="5">
        <v>27.9</v>
      </c>
      <c r="K28" t="s">
        <v>9</v>
      </c>
      <c r="L28" t="s">
        <v>20</v>
      </c>
      <c r="M28">
        <v>5</v>
      </c>
      <c r="N28" s="10">
        <f>AVERAGE(C5:C7)</f>
        <v>101.03333333333335</v>
      </c>
      <c r="O28" t="s">
        <v>9</v>
      </c>
      <c r="P28" t="s">
        <v>20</v>
      </c>
      <c r="Q28">
        <v>5</v>
      </c>
      <c r="R28" s="10">
        <f>AVERAGE(C17:C19)</f>
        <v>125.83333333333333</v>
      </c>
      <c r="S28" t="s">
        <v>15</v>
      </c>
      <c r="T28" t="s">
        <v>20</v>
      </c>
      <c r="U28">
        <v>5</v>
      </c>
      <c r="V28" s="10">
        <f>AVERAGE(C29:C31)</f>
        <v>85.2</v>
      </c>
    </row>
    <row r="29" spans="1:22" ht="15.75" x14ac:dyDescent="0.25">
      <c r="A29" s="9" t="s">
        <v>9</v>
      </c>
      <c r="B29" s="7" t="s">
        <v>11</v>
      </c>
      <c r="C29" s="5">
        <v>127.5</v>
      </c>
      <c r="D29" s="5">
        <v>60.9</v>
      </c>
      <c r="E29" s="5">
        <v>36.5</v>
      </c>
      <c r="F29" s="5">
        <v>25.8</v>
      </c>
      <c r="G29" s="5">
        <v>21.7</v>
      </c>
      <c r="H29" s="5">
        <v>20.299999999999997</v>
      </c>
      <c r="I29" s="5">
        <v>23.599999999999998</v>
      </c>
      <c r="J29" s="5">
        <v>23.700000000000003</v>
      </c>
      <c r="K29" t="s">
        <v>9</v>
      </c>
      <c r="L29" t="s">
        <v>20</v>
      </c>
      <c r="M29">
        <v>10</v>
      </c>
      <c r="N29" s="10">
        <f>AVERAGE(D5:D7)</f>
        <v>74.933333333333323</v>
      </c>
      <c r="O29" t="s">
        <v>9</v>
      </c>
      <c r="P29" t="s">
        <v>20</v>
      </c>
      <c r="Q29">
        <v>10</v>
      </c>
      <c r="R29" s="10">
        <f>AVERAGE(D17:D19)</f>
        <v>61.966666666666661</v>
      </c>
      <c r="S29" t="s">
        <v>15</v>
      </c>
      <c r="T29" t="s">
        <v>20</v>
      </c>
      <c r="U29">
        <v>10</v>
      </c>
      <c r="V29" s="10">
        <f>AVERAGE(D29:D31)</f>
        <v>43.633333333333333</v>
      </c>
    </row>
    <row r="30" spans="1:22" ht="15.75" x14ac:dyDescent="0.25">
      <c r="A30" s="9" t="s">
        <v>9</v>
      </c>
      <c r="B30" s="7" t="s">
        <v>11</v>
      </c>
      <c r="C30" s="5">
        <v>49.5</v>
      </c>
      <c r="D30" s="5">
        <v>30.8</v>
      </c>
      <c r="E30" s="5">
        <v>23</v>
      </c>
      <c r="F30" s="5">
        <v>19.899999999999999</v>
      </c>
      <c r="G30" s="5">
        <v>18.900000000000002</v>
      </c>
      <c r="H30" s="5">
        <v>22.3</v>
      </c>
      <c r="I30" s="5">
        <v>30.8</v>
      </c>
      <c r="J30" s="5">
        <v>36.800000000000004</v>
      </c>
      <c r="K30" t="s">
        <v>9</v>
      </c>
      <c r="L30" t="s">
        <v>20</v>
      </c>
      <c r="M30">
        <v>15</v>
      </c>
      <c r="N30" s="10">
        <f>AVERAGE(E5:E7)</f>
        <v>64.966666666666654</v>
      </c>
      <c r="O30" t="s">
        <v>9</v>
      </c>
      <c r="P30" t="s">
        <v>20</v>
      </c>
      <c r="Q30">
        <v>15</v>
      </c>
      <c r="R30" s="10">
        <f>AVERAGE(E17:E19)</f>
        <v>42.699999999999996</v>
      </c>
      <c r="S30" t="s">
        <v>15</v>
      </c>
      <c r="T30" t="s">
        <v>20</v>
      </c>
      <c r="U30">
        <v>15</v>
      </c>
      <c r="V30" s="10">
        <f>AVERAGE(E29:E31)</f>
        <v>34.866666666666667</v>
      </c>
    </row>
    <row r="31" spans="1:22" ht="15.75" x14ac:dyDescent="0.25">
      <c r="A31" s="9" t="s">
        <v>9</v>
      </c>
      <c r="B31" s="7" t="s">
        <v>11</v>
      </c>
      <c r="C31" s="5">
        <v>78.599999999999994</v>
      </c>
      <c r="D31" s="5">
        <v>39.200000000000003</v>
      </c>
      <c r="E31" s="5">
        <v>45.1</v>
      </c>
      <c r="F31" s="5">
        <v>48.3</v>
      </c>
      <c r="G31" s="5">
        <v>47.1</v>
      </c>
      <c r="H31" s="5">
        <v>40.299999999999997</v>
      </c>
      <c r="I31" s="5">
        <v>45</v>
      </c>
      <c r="J31" s="5">
        <v>47.1</v>
      </c>
      <c r="K31" t="s">
        <v>9</v>
      </c>
      <c r="L31" t="s">
        <v>20</v>
      </c>
      <c r="M31">
        <v>20</v>
      </c>
      <c r="N31" s="10">
        <f>AVERAGE(F5:F7)</f>
        <v>59.099999999999994</v>
      </c>
      <c r="O31" t="s">
        <v>9</v>
      </c>
      <c r="P31" t="s">
        <v>20</v>
      </c>
      <c r="Q31">
        <v>20</v>
      </c>
      <c r="R31" s="10">
        <f>AVERAGE(F17:F19)</f>
        <v>34.06666666666667</v>
      </c>
      <c r="S31" t="s">
        <v>15</v>
      </c>
      <c r="T31" t="s">
        <v>20</v>
      </c>
      <c r="U31">
        <v>20</v>
      </c>
      <c r="V31" s="10">
        <f>AVERAGE(F29:F31)</f>
        <v>31.333333333333332</v>
      </c>
    </row>
    <row r="32" spans="1:22" ht="15.75" x14ac:dyDescent="0.25">
      <c r="A32" s="9" t="s">
        <v>9</v>
      </c>
      <c r="B32" s="7" t="s">
        <v>12</v>
      </c>
      <c r="C32" s="5">
        <v>97.6</v>
      </c>
      <c r="D32" s="5">
        <v>48.5</v>
      </c>
      <c r="E32" s="5">
        <v>17.100000000000001</v>
      </c>
      <c r="F32" s="5">
        <v>15.7</v>
      </c>
      <c r="G32" s="5">
        <v>17</v>
      </c>
      <c r="H32" s="5">
        <v>17.7</v>
      </c>
      <c r="I32" s="5">
        <v>24.6</v>
      </c>
      <c r="J32" s="5">
        <v>35.5</v>
      </c>
      <c r="K32" t="s">
        <v>9</v>
      </c>
      <c r="L32" t="s">
        <v>20</v>
      </c>
      <c r="M32">
        <v>25</v>
      </c>
      <c r="N32" s="10">
        <f>AVERAGE(G5:G7)</f>
        <v>28.533333333333335</v>
      </c>
      <c r="O32" t="s">
        <v>9</v>
      </c>
      <c r="P32" t="s">
        <v>20</v>
      </c>
      <c r="Q32">
        <v>25</v>
      </c>
      <c r="R32" s="10">
        <f>AVERAGE(G17:G19)</f>
        <v>32.133333333333333</v>
      </c>
      <c r="S32" t="s">
        <v>15</v>
      </c>
      <c r="T32" t="s">
        <v>20</v>
      </c>
      <c r="U32">
        <v>25</v>
      </c>
      <c r="V32" s="10">
        <f>AVERAGE(G29:G31)</f>
        <v>29.233333333333334</v>
      </c>
    </row>
    <row r="33" spans="1:22" ht="15.75" x14ac:dyDescent="0.25">
      <c r="A33" s="9" t="s">
        <v>9</v>
      </c>
      <c r="B33" s="7" t="s">
        <v>12</v>
      </c>
      <c r="C33" s="5">
        <v>61.6</v>
      </c>
      <c r="D33" s="5">
        <v>63.5</v>
      </c>
      <c r="E33" s="5">
        <v>49.9</v>
      </c>
      <c r="F33" s="5">
        <v>29.9</v>
      </c>
      <c r="G33" s="5">
        <v>25.5</v>
      </c>
      <c r="H33" s="5">
        <v>29.5</v>
      </c>
      <c r="I33" s="5">
        <v>37.5</v>
      </c>
      <c r="J33" s="5">
        <v>39.099999999999994</v>
      </c>
      <c r="K33" t="s">
        <v>9</v>
      </c>
      <c r="L33" t="s">
        <v>20</v>
      </c>
      <c r="M33">
        <v>30</v>
      </c>
      <c r="N33" s="10">
        <f>AVERAGE(H5:H7)</f>
        <v>28.466666666666669</v>
      </c>
      <c r="O33" t="s">
        <v>9</v>
      </c>
      <c r="P33" t="s">
        <v>20</v>
      </c>
      <c r="Q33">
        <v>30</v>
      </c>
      <c r="R33" s="10">
        <f>AVERAGE(H17:H19)</f>
        <v>33.766666666666666</v>
      </c>
      <c r="S33" t="s">
        <v>15</v>
      </c>
      <c r="T33" t="s">
        <v>20</v>
      </c>
      <c r="U33">
        <v>30</v>
      </c>
      <c r="V33" s="10">
        <f>AVERAGE(H29:H31)</f>
        <v>27.633333333333329</v>
      </c>
    </row>
    <row r="34" spans="1:22" ht="15.75" x14ac:dyDescent="0.25">
      <c r="A34" s="9" t="s">
        <v>9</v>
      </c>
      <c r="B34" s="7" t="s">
        <v>12</v>
      </c>
      <c r="C34" s="5">
        <v>107.9</v>
      </c>
      <c r="D34" s="5">
        <v>59.4</v>
      </c>
      <c r="E34" s="5">
        <v>49.9</v>
      </c>
      <c r="F34" s="5">
        <v>40.200000000000003</v>
      </c>
      <c r="G34" s="5">
        <v>48</v>
      </c>
      <c r="H34" s="5">
        <v>61.099999999999994</v>
      </c>
      <c r="I34" s="5">
        <v>52.899999999999991</v>
      </c>
      <c r="J34" s="5">
        <v>43.199999999999996</v>
      </c>
      <c r="K34" t="s">
        <v>9</v>
      </c>
      <c r="L34" t="s">
        <v>20</v>
      </c>
      <c r="M34">
        <v>35</v>
      </c>
      <c r="N34" s="10">
        <f>AVERAGE(I5:I7)</f>
        <v>30.3</v>
      </c>
      <c r="O34" t="s">
        <v>9</v>
      </c>
      <c r="P34" t="s">
        <v>20</v>
      </c>
      <c r="Q34">
        <v>35</v>
      </c>
      <c r="R34" s="10">
        <f>AVERAGE(I17:I19)</f>
        <v>34.833333333333336</v>
      </c>
      <c r="S34" t="s">
        <v>15</v>
      </c>
      <c r="T34" t="s">
        <v>20</v>
      </c>
      <c r="U34">
        <v>35</v>
      </c>
      <c r="V34" s="10">
        <f>AVERAGE(I29:I31)</f>
        <v>33.133333333333333</v>
      </c>
    </row>
    <row r="35" spans="1:22" ht="15.75" x14ac:dyDescent="0.25">
      <c r="A35" s="9" t="s">
        <v>9</v>
      </c>
      <c r="B35" s="7" t="s">
        <v>13</v>
      </c>
      <c r="C35" s="5">
        <v>91.2</v>
      </c>
      <c r="D35" s="5">
        <v>60</v>
      </c>
      <c r="E35" s="5">
        <v>38.9</v>
      </c>
      <c r="F35" s="5">
        <v>22.2</v>
      </c>
      <c r="G35" s="5">
        <v>20.399999999999999</v>
      </c>
      <c r="H35" s="5">
        <v>21.099999999999998</v>
      </c>
      <c r="I35" s="5">
        <v>25.8</v>
      </c>
      <c r="J35" s="5">
        <v>26.5</v>
      </c>
      <c r="K35" t="s">
        <v>9</v>
      </c>
      <c r="L35" t="s">
        <v>20</v>
      </c>
      <c r="M35">
        <v>40</v>
      </c>
      <c r="N35" s="10">
        <f>AVERAGE(J5:J7)</f>
        <v>33.833333333333336</v>
      </c>
      <c r="O35" t="s">
        <v>9</v>
      </c>
      <c r="P35" t="s">
        <v>20</v>
      </c>
      <c r="Q35">
        <v>40</v>
      </c>
      <c r="R35" s="10">
        <f>AVERAGE(J17:J19)</f>
        <v>36.599999999999994</v>
      </c>
      <c r="S35" t="s">
        <v>15</v>
      </c>
      <c r="T35" t="s">
        <v>20</v>
      </c>
      <c r="U35">
        <v>40</v>
      </c>
      <c r="V35" s="10">
        <f>AVERAGE(J29:J31)</f>
        <v>35.866666666666667</v>
      </c>
    </row>
    <row r="36" spans="1:22" ht="15.75" x14ac:dyDescent="0.25">
      <c r="A36" s="9" t="s">
        <v>9</v>
      </c>
      <c r="B36" s="7" t="s">
        <v>13</v>
      </c>
      <c r="C36" s="5">
        <v>92.9</v>
      </c>
      <c r="D36" s="5">
        <v>72.7</v>
      </c>
      <c r="E36" s="5">
        <v>64.2</v>
      </c>
      <c r="F36" s="5">
        <v>50.9</v>
      </c>
      <c r="G36" s="5">
        <v>29.900000000000002</v>
      </c>
      <c r="H36" s="5">
        <v>21.9</v>
      </c>
      <c r="I36" s="5">
        <v>26.400000000000002</v>
      </c>
      <c r="J36" s="5">
        <v>26</v>
      </c>
    </row>
    <row r="37" spans="1:22" ht="15.75" x14ac:dyDescent="0.25">
      <c r="A37" s="9" t="s">
        <v>9</v>
      </c>
      <c r="B37" s="7" t="s">
        <v>13</v>
      </c>
      <c r="C37" s="5">
        <v>93.4</v>
      </c>
      <c r="D37" s="5">
        <v>42</v>
      </c>
      <c r="E37" s="5">
        <v>24.3</v>
      </c>
      <c r="F37" s="5">
        <v>20.3</v>
      </c>
      <c r="G37" s="5">
        <v>23.599999999999998</v>
      </c>
      <c r="H37" s="5">
        <v>26.8</v>
      </c>
      <c r="I37" s="5">
        <v>28.2</v>
      </c>
      <c r="J37" s="5">
        <v>28.2</v>
      </c>
    </row>
    <row r="38" spans="1:22" ht="15.75" x14ac:dyDescent="0.25">
      <c r="G38" s="3"/>
      <c r="H38" s="3"/>
      <c r="I38" s="3"/>
      <c r="J38" s="3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7"/>
  <sheetViews>
    <sheetView showGridLines="0" zoomScale="70" zoomScaleNormal="70" workbookViewId="0">
      <selection activeCell="L3" sqref="L3:W35"/>
    </sheetView>
  </sheetViews>
  <sheetFormatPr defaultRowHeight="15" x14ac:dyDescent="0.25"/>
  <cols>
    <col min="2" max="2" width="15.28515625" bestFit="1" customWidth="1"/>
    <col min="14" max="14" width="15" bestFit="1" customWidth="1"/>
    <col min="18" max="18" width="15" bestFit="1" customWidth="1"/>
  </cols>
  <sheetData>
    <row r="1" spans="1:23" s="1" customFormat="1" ht="15.7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23" ht="15.75" x14ac:dyDescent="0.25">
      <c r="A2" s="9" t="s">
        <v>15</v>
      </c>
      <c r="B2" s="7" t="s">
        <v>10</v>
      </c>
      <c r="C2" s="3">
        <v>12.6</v>
      </c>
      <c r="D2" s="3">
        <v>10.4</v>
      </c>
      <c r="E2" s="3">
        <v>8.1</v>
      </c>
      <c r="F2" s="3">
        <v>15.7</v>
      </c>
      <c r="G2" s="3">
        <v>19.400000000000002</v>
      </c>
      <c r="H2" s="3">
        <v>22.799999999999997</v>
      </c>
      <c r="I2" s="3">
        <v>24.6</v>
      </c>
      <c r="J2" s="3">
        <v>18.100000000000001</v>
      </c>
    </row>
    <row r="3" spans="1:23" ht="15.75" x14ac:dyDescent="0.25">
      <c r="A3" s="9" t="s">
        <v>15</v>
      </c>
      <c r="B3" s="7" t="s">
        <v>10</v>
      </c>
      <c r="C3" s="3">
        <v>7.8</v>
      </c>
      <c r="D3" s="3">
        <v>6.9</v>
      </c>
      <c r="E3" s="3">
        <v>6</v>
      </c>
      <c r="F3" s="3">
        <v>6.9</v>
      </c>
      <c r="G3" s="3">
        <v>11.700000000000001</v>
      </c>
      <c r="H3" s="3">
        <v>10.4</v>
      </c>
      <c r="I3" s="3">
        <v>10.4</v>
      </c>
      <c r="J3" s="3">
        <v>10.3</v>
      </c>
      <c r="L3" t="s">
        <v>22</v>
      </c>
      <c r="M3" t="s">
        <v>16</v>
      </c>
      <c r="N3" t="s">
        <v>21</v>
      </c>
      <c r="O3" t="s">
        <v>25</v>
      </c>
      <c r="P3" t="s">
        <v>22</v>
      </c>
      <c r="Q3" t="s">
        <v>16</v>
      </c>
      <c r="R3" t="s">
        <v>21</v>
      </c>
      <c r="S3" t="s">
        <v>25</v>
      </c>
      <c r="T3" t="s">
        <v>22</v>
      </c>
      <c r="U3" t="s">
        <v>16</v>
      </c>
      <c r="V3" t="s">
        <v>21</v>
      </c>
      <c r="W3" t="s">
        <v>25</v>
      </c>
    </row>
    <row r="4" spans="1:23" ht="15.75" x14ac:dyDescent="0.25">
      <c r="A4" s="9" t="s">
        <v>15</v>
      </c>
      <c r="B4" s="7" t="s">
        <v>10</v>
      </c>
      <c r="C4" s="3">
        <v>6.3</v>
      </c>
      <c r="D4" s="3">
        <v>5.8</v>
      </c>
      <c r="E4" s="3">
        <v>8.9</v>
      </c>
      <c r="F4" s="3">
        <v>10.5</v>
      </c>
      <c r="G4" s="3">
        <v>8.5</v>
      </c>
      <c r="H4" s="3">
        <v>7.5</v>
      </c>
      <c r="I4" s="3">
        <v>4.5</v>
      </c>
      <c r="J4" s="3">
        <v>3</v>
      </c>
      <c r="L4" t="s">
        <v>15</v>
      </c>
      <c r="M4" t="s">
        <v>17</v>
      </c>
      <c r="N4">
        <v>5</v>
      </c>
      <c r="O4" s="10">
        <f>AVERAGE(C2:C4)</f>
        <v>8.9</v>
      </c>
      <c r="P4" t="s">
        <v>14</v>
      </c>
      <c r="Q4" t="s">
        <v>17</v>
      </c>
      <c r="R4">
        <v>5</v>
      </c>
      <c r="S4" s="10">
        <f>AVERAGE(C14:C16)</f>
        <v>18.666666666666668</v>
      </c>
      <c r="T4" t="s">
        <v>9</v>
      </c>
      <c r="U4" t="s">
        <v>17</v>
      </c>
      <c r="V4">
        <v>5</v>
      </c>
      <c r="W4" s="10">
        <f>AVERAGE(C26:C28)</f>
        <v>10.1</v>
      </c>
    </row>
    <row r="5" spans="1:23" ht="15.75" x14ac:dyDescent="0.25">
      <c r="A5" s="9" t="s">
        <v>15</v>
      </c>
      <c r="B5" s="7" t="s">
        <v>11</v>
      </c>
      <c r="C5" s="3">
        <v>10.3</v>
      </c>
      <c r="D5" s="3">
        <v>17.7</v>
      </c>
      <c r="E5" s="3">
        <v>17.3</v>
      </c>
      <c r="F5" s="3">
        <v>13.9</v>
      </c>
      <c r="G5" s="3">
        <v>13.200000000000001</v>
      </c>
      <c r="H5" s="3">
        <v>13.200000000000001</v>
      </c>
      <c r="I5" s="3">
        <v>11.3</v>
      </c>
      <c r="J5" s="3">
        <v>13.200000000000001</v>
      </c>
      <c r="L5" t="s">
        <v>15</v>
      </c>
      <c r="M5" t="s">
        <v>17</v>
      </c>
      <c r="N5">
        <v>10</v>
      </c>
      <c r="O5" s="10">
        <f>AVERAGE(D2:D4)</f>
        <v>7.7</v>
      </c>
      <c r="P5" t="s">
        <v>14</v>
      </c>
      <c r="Q5" t="s">
        <v>17</v>
      </c>
      <c r="R5">
        <v>10</v>
      </c>
      <c r="S5" s="10">
        <f>AVERAGE(D14:D16)</f>
        <v>16.033333333333335</v>
      </c>
      <c r="T5" t="s">
        <v>9</v>
      </c>
      <c r="U5" t="s">
        <v>17</v>
      </c>
      <c r="V5">
        <v>10</v>
      </c>
      <c r="W5" s="10">
        <f>AVERAGE(D26:D28)</f>
        <v>7.0333333333333341</v>
      </c>
    </row>
    <row r="6" spans="1:23" ht="15.75" x14ac:dyDescent="0.25">
      <c r="A6" s="9" t="s">
        <v>15</v>
      </c>
      <c r="B6" s="7" t="s">
        <v>11</v>
      </c>
      <c r="C6" s="3">
        <v>4.4000000000000004</v>
      </c>
      <c r="D6" s="3">
        <v>13.5</v>
      </c>
      <c r="E6" s="3">
        <v>10.8</v>
      </c>
      <c r="F6" s="3">
        <v>12.1</v>
      </c>
      <c r="G6" s="3">
        <v>6.5000000000000018</v>
      </c>
      <c r="H6" s="3">
        <v>10.199999999999999</v>
      </c>
      <c r="I6" s="3">
        <v>9.5000000000000018</v>
      </c>
      <c r="J6" s="3">
        <v>9.5000000000000018</v>
      </c>
      <c r="L6" t="s">
        <v>15</v>
      </c>
      <c r="M6" t="s">
        <v>17</v>
      </c>
      <c r="N6">
        <v>15</v>
      </c>
      <c r="O6" s="10">
        <f>AVERAGE(E2:E4)</f>
        <v>7.666666666666667</v>
      </c>
      <c r="P6" t="s">
        <v>14</v>
      </c>
      <c r="Q6" t="s">
        <v>17</v>
      </c>
      <c r="R6">
        <v>15</v>
      </c>
      <c r="S6" s="10">
        <f>AVERAGE(E14:E16)</f>
        <v>16.033333333333331</v>
      </c>
      <c r="T6" t="s">
        <v>9</v>
      </c>
      <c r="U6" t="s">
        <v>17</v>
      </c>
      <c r="V6">
        <v>15</v>
      </c>
      <c r="W6" s="10">
        <f>AVERAGE(E26:E28)</f>
        <v>6.2666666666666657</v>
      </c>
    </row>
    <row r="7" spans="1:23" ht="15.75" x14ac:dyDescent="0.25">
      <c r="A7" s="9" t="s">
        <v>15</v>
      </c>
      <c r="B7" s="7" t="s">
        <v>11</v>
      </c>
      <c r="C7" s="3">
        <v>12.5</v>
      </c>
      <c r="D7" s="3">
        <v>12.5</v>
      </c>
      <c r="E7" s="3">
        <v>16.399999999999999</v>
      </c>
      <c r="F7" s="3">
        <v>10.8</v>
      </c>
      <c r="G7" s="3">
        <v>9.6999999999999993</v>
      </c>
      <c r="H7" s="3">
        <v>12.6</v>
      </c>
      <c r="I7" s="3">
        <v>10.700000000000001</v>
      </c>
      <c r="J7" s="3">
        <v>10.199999999999999</v>
      </c>
      <c r="L7" t="s">
        <v>15</v>
      </c>
      <c r="M7" t="s">
        <v>17</v>
      </c>
      <c r="N7">
        <v>20</v>
      </c>
      <c r="O7" s="10">
        <f>AVERAGE(F2:F4)</f>
        <v>11.033333333333333</v>
      </c>
      <c r="P7" t="s">
        <v>14</v>
      </c>
      <c r="Q7" t="s">
        <v>17</v>
      </c>
      <c r="R7">
        <v>20</v>
      </c>
      <c r="S7" s="10">
        <f>AVERAGE(F14:F16)</f>
        <v>16.033333333333331</v>
      </c>
      <c r="T7" t="s">
        <v>9</v>
      </c>
      <c r="U7" t="s">
        <v>17</v>
      </c>
      <c r="V7">
        <v>20</v>
      </c>
      <c r="W7" s="10">
        <f>AVERAGE(F26:F28)</f>
        <v>8.5333333333333332</v>
      </c>
    </row>
    <row r="8" spans="1:23" ht="15.75" x14ac:dyDescent="0.25">
      <c r="A8" s="9" t="s">
        <v>15</v>
      </c>
      <c r="B8" s="7" t="s">
        <v>12</v>
      </c>
      <c r="C8" s="3">
        <v>8</v>
      </c>
      <c r="D8" s="3">
        <v>8.5</v>
      </c>
      <c r="E8" s="3">
        <v>15.1</v>
      </c>
      <c r="F8" s="3">
        <v>13.7</v>
      </c>
      <c r="G8" s="3">
        <v>16.599999999999998</v>
      </c>
      <c r="H8" s="3">
        <v>18.600000000000001</v>
      </c>
      <c r="I8" s="3">
        <v>16.100000000000001</v>
      </c>
      <c r="J8" s="3">
        <v>15.9</v>
      </c>
      <c r="L8" t="s">
        <v>15</v>
      </c>
      <c r="M8" t="s">
        <v>17</v>
      </c>
      <c r="N8">
        <v>25</v>
      </c>
      <c r="O8" s="10">
        <f>AVERAGE(G2:G4)</f>
        <v>13.200000000000001</v>
      </c>
      <c r="P8" t="s">
        <v>14</v>
      </c>
      <c r="Q8" t="s">
        <v>17</v>
      </c>
      <c r="R8">
        <v>25</v>
      </c>
      <c r="S8" s="10">
        <f>AVERAGE(G14:G16)</f>
        <v>16.3</v>
      </c>
      <c r="T8" t="s">
        <v>9</v>
      </c>
      <c r="U8" t="s">
        <v>17</v>
      </c>
      <c r="V8">
        <v>25</v>
      </c>
      <c r="W8" s="10">
        <f>AVERAGE(G26:G28)</f>
        <v>5.666666666666667</v>
      </c>
    </row>
    <row r="9" spans="1:23" ht="15.75" x14ac:dyDescent="0.25">
      <c r="A9" s="9" t="s">
        <v>15</v>
      </c>
      <c r="B9" s="7" t="s">
        <v>12</v>
      </c>
      <c r="C9" s="3">
        <v>6.2</v>
      </c>
      <c r="D9" s="3">
        <v>13.6</v>
      </c>
      <c r="E9" s="3">
        <v>2</v>
      </c>
      <c r="F9" s="3">
        <v>5.9</v>
      </c>
      <c r="G9" s="3">
        <v>5.9</v>
      </c>
      <c r="H9" s="3">
        <v>7.8000000000000007</v>
      </c>
      <c r="I9" s="3">
        <v>10.199999999999999</v>
      </c>
      <c r="J9" s="3">
        <v>5.2</v>
      </c>
      <c r="L9" t="s">
        <v>15</v>
      </c>
      <c r="M9" t="s">
        <v>17</v>
      </c>
      <c r="N9">
        <v>30</v>
      </c>
      <c r="O9" s="10">
        <f>AVERAGE(H2:H4)</f>
        <v>13.566666666666665</v>
      </c>
      <c r="P9" t="s">
        <v>14</v>
      </c>
      <c r="Q9" t="s">
        <v>17</v>
      </c>
      <c r="R9">
        <v>30</v>
      </c>
      <c r="S9" s="10">
        <f>AVERAGE(H14:H16)</f>
        <v>16.999999999999996</v>
      </c>
      <c r="T9" t="s">
        <v>9</v>
      </c>
      <c r="U9" t="s">
        <v>17</v>
      </c>
      <c r="V9">
        <v>30</v>
      </c>
      <c r="W9" s="10">
        <f>AVERAGE(H26:H28)</f>
        <v>5.7666666666666666</v>
      </c>
    </row>
    <row r="10" spans="1:23" ht="15.75" x14ac:dyDescent="0.25">
      <c r="A10" s="9" t="s">
        <v>15</v>
      </c>
      <c r="B10" s="7" t="s">
        <v>12</v>
      </c>
      <c r="C10" s="3">
        <v>6.4</v>
      </c>
      <c r="D10" s="3">
        <v>3.6</v>
      </c>
      <c r="E10" s="3">
        <v>13.7</v>
      </c>
      <c r="F10" s="3">
        <v>17.100000000000001</v>
      </c>
      <c r="G10" s="3">
        <v>14.9</v>
      </c>
      <c r="H10" s="3">
        <v>15</v>
      </c>
      <c r="I10" s="3">
        <v>9.8000000000000007</v>
      </c>
      <c r="J10" s="3">
        <v>9.1000000000000014</v>
      </c>
      <c r="L10" t="s">
        <v>15</v>
      </c>
      <c r="M10" t="s">
        <v>17</v>
      </c>
      <c r="N10">
        <v>35</v>
      </c>
      <c r="O10" s="10">
        <f>AVERAGE(I2:I4)</f>
        <v>13.166666666666666</v>
      </c>
      <c r="P10" t="s">
        <v>14</v>
      </c>
      <c r="Q10" t="s">
        <v>17</v>
      </c>
      <c r="R10">
        <v>35</v>
      </c>
      <c r="S10" s="10">
        <f>AVERAGE(I14:I16)</f>
        <v>17.933333333333334</v>
      </c>
      <c r="T10" t="s">
        <v>9</v>
      </c>
      <c r="U10" t="s">
        <v>17</v>
      </c>
      <c r="V10">
        <v>35</v>
      </c>
      <c r="W10" s="10">
        <f>AVERAGE(I26:I28)</f>
        <v>5.7666666666666666</v>
      </c>
    </row>
    <row r="11" spans="1:23" ht="15.75" x14ac:dyDescent="0.25">
      <c r="A11" s="9" t="s">
        <v>15</v>
      </c>
      <c r="B11" s="7" t="s">
        <v>13</v>
      </c>
      <c r="C11" s="3">
        <v>3.1</v>
      </c>
      <c r="D11" s="3">
        <v>11.1</v>
      </c>
      <c r="E11" s="3">
        <v>15.4</v>
      </c>
      <c r="F11" s="3">
        <v>19.5</v>
      </c>
      <c r="G11" s="3">
        <v>19.600000000000001</v>
      </c>
      <c r="H11" s="3">
        <v>15.2</v>
      </c>
      <c r="I11" s="3">
        <v>14.100000000000001</v>
      </c>
      <c r="J11" s="3">
        <v>12.2</v>
      </c>
      <c r="L11" t="s">
        <v>15</v>
      </c>
      <c r="M11" t="s">
        <v>17</v>
      </c>
      <c r="N11">
        <v>40</v>
      </c>
      <c r="O11" s="10">
        <f>AVERAGE(J2:J4)</f>
        <v>10.466666666666667</v>
      </c>
      <c r="P11" t="s">
        <v>14</v>
      </c>
      <c r="Q11" t="s">
        <v>17</v>
      </c>
      <c r="R11">
        <v>40</v>
      </c>
      <c r="S11" s="10">
        <f>AVERAGE(J14:J16)</f>
        <v>16.566666666666666</v>
      </c>
      <c r="T11" t="s">
        <v>9</v>
      </c>
      <c r="U11" t="s">
        <v>17</v>
      </c>
      <c r="V11">
        <v>40</v>
      </c>
      <c r="W11" s="10">
        <f>AVERAGE(J26:J28)</f>
        <v>4.0333333333333323</v>
      </c>
    </row>
    <row r="12" spans="1:23" ht="15.75" x14ac:dyDescent="0.25">
      <c r="A12" s="9" t="s">
        <v>15</v>
      </c>
      <c r="B12" s="7" t="s">
        <v>13</v>
      </c>
      <c r="C12" s="3">
        <v>4</v>
      </c>
      <c r="D12" s="3">
        <v>5.3</v>
      </c>
      <c r="E12" s="3">
        <v>13.1</v>
      </c>
      <c r="F12" s="3">
        <v>11.2</v>
      </c>
      <c r="G12" s="3">
        <v>12.7</v>
      </c>
      <c r="H12" s="3">
        <v>6.6000000000000014</v>
      </c>
      <c r="I12" s="3">
        <v>8.1000000000000014</v>
      </c>
      <c r="J12" s="3">
        <v>7.4</v>
      </c>
      <c r="L12" t="s">
        <v>15</v>
      </c>
      <c r="M12" t="s">
        <v>18</v>
      </c>
      <c r="N12">
        <v>5</v>
      </c>
      <c r="O12" s="10">
        <f>AVERAGE(C8:C10)</f>
        <v>6.8666666666666671</v>
      </c>
      <c r="P12" t="s">
        <v>14</v>
      </c>
      <c r="Q12" t="s">
        <v>18</v>
      </c>
      <c r="R12">
        <v>5</v>
      </c>
      <c r="S12" s="10">
        <f>AVERAGE(C20:C22)</f>
        <v>17.666666666666668</v>
      </c>
      <c r="T12" t="s">
        <v>9</v>
      </c>
      <c r="U12" t="s">
        <v>18</v>
      </c>
      <c r="V12">
        <v>5</v>
      </c>
      <c r="W12" s="10">
        <f>AVERAGE(C32:C34)</f>
        <v>3.0666666666666664</v>
      </c>
    </row>
    <row r="13" spans="1:23" ht="15.75" x14ac:dyDescent="0.25">
      <c r="A13" s="9" t="s">
        <v>15</v>
      </c>
      <c r="B13" s="7" t="s">
        <v>13</v>
      </c>
      <c r="C13" s="3">
        <v>8.9</v>
      </c>
      <c r="D13" s="3">
        <v>6.8</v>
      </c>
      <c r="E13" s="3">
        <v>21.7</v>
      </c>
      <c r="F13" s="3">
        <v>18.2</v>
      </c>
      <c r="G13" s="3">
        <v>13.600000000000001</v>
      </c>
      <c r="H13" s="3">
        <v>11.200000000000001</v>
      </c>
      <c r="I13" s="3">
        <v>10.700000000000001</v>
      </c>
      <c r="J13" s="3">
        <v>9.8000000000000007</v>
      </c>
      <c r="L13" t="s">
        <v>15</v>
      </c>
      <c r="M13" t="s">
        <v>18</v>
      </c>
      <c r="N13">
        <v>10</v>
      </c>
      <c r="O13" s="10">
        <f>AVERAGE(D8:D10)</f>
        <v>8.5666666666666682</v>
      </c>
      <c r="P13" t="s">
        <v>14</v>
      </c>
      <c r="Q13" t="s">
        <v>18</v>
      </c>
      <c r="R13">
        <v>10</v>
      </c>
      <c r="S13" s="10">
        <f>AVERAGE(D20:D22)</f>
        <v>17.633333333333336</v>
      </c>
      <c r="T13" t="s">
        <v>9</v>
      </c>
      <c r="U13" t="s">
        <v>18</v>
      </c>
      <c r="V13">
        <v>10</v>
      </c>
      <c r="W13" s="10">
        <f>AVERAGE(D32:D34)</f>
        <v>2.2999999999999998</v>
      </c>
    </row>
    <row r="14" spans="1:23" ht="15.75" x14ac:dyDescent="0.25">
      <c r="A14" s="8" t="s">
        <v>14</v>
      </c>
      <c r="B14" s="7" t="s">
        <v>10</v>
      </c>
      <c r="C14" s="3">
        <v>8.4</v>
      </c>
      <c r="D14" s="3">
        <v>5.4</v>
      </c>
      <c r="E14" s="3">
        <v>3.1</v>
      </c>
      <c r="F14" s="3">
        <v>5</v>
      </c>
      <c r="G14" s="3">
        <v>6.6000000000000014</v>
      </c>
      <c r="H14" s="3">
        <v>7.9</v>
      </c>
      <c r="I14" s="3">
        <v>6.1000000000000014</v>
      </c>
      <c r="J14" s="3">
        <v>4.5</v>
      </c>
      <c r="L14" t="s">
        <v>15</v>
      </c>
      <c r="M14" t="s">
        <v>18</v>
      </c>
      <c r="N14">
        <v>15</v>
      </c>
      <c r="O14" s="10">
        <f>AVERAGE(E8:E10)</f>
        <v>10.266666666666667</v>
      </c>
      <c r="P14" t="s">
        <v>14</v>
      </c>
      <c r="Q14" t="s">
        <v>18</v>
      </c>
      <c r="R14">
        <v>15</v>
      </c>
      <c r="S14" s="10">
        <f>AVERAGE(E20:E22)</f>
        <v>20.8</v>
      </c>
      <c r="T14" t="s">
        <v>9</v>
      </c>
      <c r="U14" t="s">
        <v>18</v>
      </c>
      <c r="V14">
        <v>15</v>
      </c>
      <c r="W14" s="10">
        <f>AVERAGE(E32:E34)</f>
        <v>1.9666666666666668</v>
      </c>
    </row>
    <row r="15" spans="1:23" ht="15.75" x14ac:dyDescent="0.25">
      <c r="A15" s="8" t="s">
        <v>14</v>
      </c>
      <c r="B15" s="7" t="s">
        <v>10</v>
      </c>
      <c r="C15" s="3">
        <v>9.1</v>
      </c>
      <c r="D15" s="3">
        <v>4.2</v>
      </c>
      <c r="E15" s="3">
        <v>5.7</v>
      </c>
      <c r="F15" s="3">
        <v>4.3</v>
      </c>
      <c r="G15" s="3">
        <v>4.3</v>
      </c>
      <c r="H15" s="3">
        <v>6.2000000000000011</v>
      </c>
      <c r="I15" s="3">
        <v>8.5</v>
      </c>
      <c r="J15" s="3">
        <v>7.8000000000000007</v>
      </c>
      <c r="L15" t="s">
        <v>15</v>
      </c>
      <c r="M15" t="s">
        <v>18</v>
      </c>
      <c r="N15">
        <v>20</v>
      </c>
      <c r="O15" s="10">
        <f>AVERAGE(F8:F10)</f>
        <v>12.233333333333334</v>
      </c>
      <c r="P15" t="s">
        <v>14</v>
      </c>
      <c r="Q15" t="s">
        <v>18</v>
      </c>
      <c r="R15">
        <v>20</v>
      </c>
      <c r="S15" s="10">
        <f>AVERAGE(F20:F22)</f>
        <v>22.366666666666664</v>
      </c>
      <c r="T15" t="s">
        <v>9</v>
      </c>
      <c r="U15" t="s">
        <v>18</v>
      </c>
      <c r="V15">
        <v>20</v>
      </c>
      <c r="W15" s="10">
        <f>AVERAGE(F32:F34)</f>
        <v>2.3333333333333335</v>
      </c>
    </row>
    <row r="16" spans="1:23" ht="15.75" x14ac:dyDescent="0.25">
      <c r="A16" s="8" t="s">
        <v>14</v>
      </c>
      <c r="B16" s="7" t="s">
        <v>10</v>
      </c>
      <c r="C16" s="3">
        <v>38.5</v>
      </c>
      <c r="D16" s="3">
        <v>38.5</v>
      </c>
      <c r="E16" s="3">
        <v>39.299999999999997</v>
      </c>
      <c r="F16" s="3">
        <v>38.799999999999997</v>
      </c>
      <c r="G16" s="3">
        <v>38</v>
      </c>
      <c r="H16" s="3">
        <v>36.899999999999991</v>
      </c>
      <c r="I16" s="3">
        <v>39.200000000000003</v>
      </c>
      <c r="J16" s="3">
        <v>37.400000000000006</v>
      </c>
      <c r="L16" t="s">
        <v>15</v>
      </c>
      <c r="M16" t="s">
        <v>18</v>
      </c>
      <c r="N16">
        <v>25</v>
      </c>
      <c r="O16" s="10">
        <f>AVERAGE(G8:G10)</f>
        <v>12.466666666666667</v>
      </c>
      <c r="P16" t="s">
        <v>14</v>
      </c>
      <c r="Q16" t="s">
        <v>18</v>
      </c>
      <c r="R16">
        <v>25</v>
      </c>
      <c r="S16" s="10">
        <f>AVERAGE(G20:G22)</f>
        <v>24.766666666666669</v>
      </c>
      <c r="T16" t="s">
        <v>9</v>
      </c>
      <c r="U16" t="s">
        <v>18</v>
      </c>
      <c r="V16">
        <v>25</v>
      </c>
      <c r="W16" s="10">
        <f>AVERAGE(G32:G34)</f>
        <v>3.6666666666666665</v>
      </c>
    </row>
    <row r="17" spans="1:23" ht="15.75" x14ac:dyDescent="0.25">
      <c r="A17" s="8" t="s">
        <v>14</v>
      </c>
      <c r="B17" s="7" t="s">
        <v>11</v>
      </c>
      <c r="C17" s="3">
        <v>5.0999999999999996</v>
      </c>
      <c r="D17" s="3">
        <v>5.4</v>
      </c>
      <c r="E17" s="3">
        <v>4.2</v>
      </c>
      <c r="F17" s="3">
        <v>3.5</v>
      </c>
      <c r="G17" s="3">
        <v>8.9000000000000021</v>
      </c>
      <c r="H17" s="3">
        <v>9.8000000000000007</v>
      </c>
      <c r="I17" s="3">
        <v>12.2</v>
      </c>
      <c r="J17" s="3">
        <v>8.9000000000000021</v>
      </c>
      <c r="L17" t="s">
        <v>15</v>
      </c>
      <c r="M17" t="s">
        <v>18</v>
      </c>
      <c r="N17">
        <v>30</v>
      </c>
      <c r="O17" s="10">
        <f>AVERAGE(H8:H10)</f>
        <v>13.800000000000002</v>
      </c>
      <c r="P17" t="s">
        <v>14</v>
      </c>
      <c r="Q17" t="s">
        <v>18</v>
      </c>
      <c r="R17">
        <v>30</v>
      </c>
      <c r="S17" s="10">
        <f>AVERAGE(H20:H22)</f>
        <v>20.766666666666666</v>
      </c>
      <c r="T17" t="s">
        <v>9</v>
      </c>
      <c r="U17" t="s">
        <v>18</v>
      </c>
      <c r="V17">
        <v>30</v>
      </c>
      <c r="W17" s="10">
        <f>AVERAGE(H32:H34)</f>
        <v>6.166666666666667</v>
      </c>
    </row>
    <row r="18" spans="1:23" ht="15.75" x14ac:dyDescent="0.25">
      <c r="A18" s="8" t="s">
        <v>14</v>
      </c>
      <c r="B18" s="7" t="s">
        <v>11</v>
      </c>
      <c r="C18" s="3">
        <v>19.399999999999999</v>
      </c>
      <c r="D18" s="3">
        <v>6.4</v>
      </c>
      <c r="E18" s="3">
        <v>6.9</v>
      </c>
      <c r="F18" s="3">
        <v>7</v>
      </c>
      <c r="G18" s="3">
        <v>9.6999999999999993</v>
      </c>
      <c r="H18" s="3">
        <v>11.3</v>
      </c>
      <c r="I18" s="3">
        <v>10.700000000000001</v>
      </c>
      <c r="J18" s="3">
        <v>9.6999999999999993</v>
      </c>
      <c r="L18" t="s">
        <v>15</v>
      </c>
      <c r="M18" t="s">
        <v>18</v>
      </c>
      <c r="N18">
        <v>35</v>
      </c>
      <c r="O18" s="10">
        <f>AVERAGE(I8:I10)</f>
        <v>12.033333333333333</v>
      </c>
      <c r="P18" t="s">
        <v>14</v>
      </c>
      <c r="Q18" t="s">
        <v>18</v>
      </c>
      <c r="R18">
        <v>35</v>
      </c>
      <c r="S18" s="10">
        <f>AVERAGE(I20:I22)</f>
        <v>19.033333333333335</v>
      </c>
      <c r="T18" t="s">
        <v>9</v>
      </c>
      <c r="U18" t="s">
        <v>18</v>
      </c>
      <c r="V18">
        <v>35</v>
      </c>
      <c r="W18" s="10">
        <f>AVERAGE(I32:I34)</f>
        <v>7.9333333333333345</v>
      </c>
    </row>
    <row r="19" spans="1:23" ht="15.75" x14ac:dyDescent="0.25">
      <c r="A19" s="8" t="s">
        <v>14</v>
      </c>
      <c r="B19" s="7" t="s">
        <v>11</v>
      </c>
      <c r="C19" s="3">
        <v>35.799999999999997</v>
      </c>
      <c r="D19" s="3">
        <v>32.700000000000003</v>
      </c>
      <c r="E19" s="3">
        <v>32.9</v>
      </c>
      <c r="F19" s="3">
        <v>32.700000000000003</v>
      </c>
      <c r="G19" s="3">
        <v>37.1</v>
      </c>
      <c r="H19" s="3">
        <v>16.900000000000002</v>
      </c>
      <c r="I19" s="3">
        <v>34.799999999999997</v>
      </c>
      <c r="J19" s="3">
        <v>35.200000000000003</v>
      </c>
      <c r="L19" t="s">
        <v>15</v>
      </c>
      <c r="M19" t="s">
        <v>18</v>
      </c>
      <c r="N19">
        <v>40</v>
      </c>
      <c r="O19" s="10">
        <f>AVERAGE(J8:J10)</f>
        <v>10.066666666666668</v>
      </c>
      <c r="P19" t="s">
        <v>14</v>
      </c>
      <c r="Q19" t="s">
        <v>18</v>
      </c>
      <c r="R19">
        <v>40</v>
      </c>
      <c r="S19" s="10">
        <f>AVERAGE(J20:J22)</f>
        <v>17.200000000000003</v>
      </c>
      <c r="T19" t="s">
        <v>9</v>
      </c>
      <c r="U19" t="s">
        <v>18</v>
      </c>
      <c r="V19">
        <v>40</v>
      </c>
      <c r="W19" s="10">
        <f>AVERAGE(J32:J34)</f>
        <v>7.7</v>
      </c>
    </row>
    <row r="20" spans="1:23" ht="15.75" x14ac:dyDescent="0.25">
      <c r="A20" s="8" t="s">
        <v>14</v>
      </c>
      <c r="B20" s="7" t="s">
        <v>12</v>
      </c>
      <c r="C20" s="3">
        <v>3.5</v>
      </c>
      <c r="D20" s="3">
        <v>5.4</v>
      </c>
      <c r="E20" s="3">
        <v>14.5</v>
      </c>
      <c r="F20" s="3">
        <v>14.5</v>
      </c>
      <c r="G20" s="3">
        <v>17</v>
      </c>
      <c r="H20" s="3">
        <v>10.3</v>
      </c>
      <c r="I20" s="3">
        <v>11.200000000000001</v>
      </c>
      <c r="J20" s="3">
        <v>6.4000000000000012</v>
      </c>
      <c r="L20" t="s">
        <v>15</v>
      </c>
      <c r="M20" t="s">
        <v>19</v>
      </c>
      <c r="N20">
        <v>5</v>
      </c>
      <c r="O20" s="10">
        <f>AVERAGE(C11:C13)</f>
        <v>5.333333333333333</v>
      </c>
      <c r="P20" t="s">
        <v>14</v>
      </c>
      <c r="Q20" t="s">
        <v>19</v>
      </c>
      <c r="R20">
        <v>5</v>
      </c>
      <c r="S20" s="10">
        <f>AVERAGE(C23:C25)</f>
        <v>7.1999999999999993</v>
      </c>
      <c r="T20" t="s">
        <v>9</v>
      </c>
      <c r="U20" t="s">
        <v>19</v>
      </c>
      <c r="V20">
        <v>5</v>
      </c>
      <c r="W20" s="10">
        <f>AVERAGE(C35:C37)</f>
        <v>4.0000000000000009</v>
      </c>
    </row>
    <row r="21" spans="1:23" ht="15.75" x14ac:dyDescent="0.25">
      <c r="A21" s="8" t="s">
        <v>14</v>
      </c>
      <c r="B21" s="7" t="s">
        <v>12</v>
      </c>
      <c r="C21" s="3">
        <v>4.2</v>
      </c>
      <c r="D21" s="3">
        <v>4.8</v>
      </c>
      <c r="E21" s="3">
        <v>6.3</v>
      </c>
      <c r="F21" s="3">
        <v>12.7</v>
      </c>
      <c r="G21" s="3">
        <v>16.900000000000002</v>
      </c>
      <c r="H21" s="3">
        <v>10.9</v>
      </c>
      <c r="I21" s="3">
        <v>7.1000000000000014</v>
      </c>
      <c r="J21" s="3">
        <v>2</v>
      </c>
      <c r="L21" t="s">
        <v>15</v>
      </c>
      <c r="M21" t="s">
        <v>19</v>
      </c>
      <c r="N21">
        <v>10</v>
      </c>
      <c r="O21" s="10">
        <f>AVERAGE(D11:D13)</f>
        <v>7.7333333333333334</v>
      </c>
      <c r="P21" t="s">
        <v>14</v>
      </c>
      <c r="Q21" t="s">
        <v>19</v>
      </c>
      <c r="R21">
        <v>10</v>
      </c>
      <c r="S21" s="10">
        <f>AVERAGE(D23:D25)</f>
        <v>6.2333333333333343</v>
      </c>
      <c r="T21" t="s">
        <v>9</v>
      </c>
      <c r="U21" t="s">
        <v>19</v>
      </c>
      <c r="V21">
        <v>10</v>
      </c>
      <c r="W21" s="10">
        <f>AVERAGE(D35:D37)</f>
        <v>4.166666666666667</v>
      </c>
    </row>
    <row r="22" spans="1:23" ht="15.75" x14ac:dyDescent="0.25">
      <c r="A22" s="8" t="s">
        <v>14</v>
      </c>
      <c r="B22" s="7" t="s">
        <v>12</v>
      </c>
      <c r="C22" s="3">
        <v>45.3</v>
      </c>
      <c r="D22" s="3">
        <v>42.7</v>
      </c>
      <c r="E22" s="3">
        <v>41.6</v>
      </c>
      <c r="F22" s="3">
        <v>39.9</v>
      </c>
      <c r="G22" s="3">
        <v>40.4</v>
      </c>
      <c r="H22" s="3">
        <v>41.099999999999994</v>
      </c>
      <c r="I22" s="3">
        <v>38.799999999999997</v>
      </c>
      <c r="J22" s="3">
        <v>43.2</v>
      </c>
      <c r="L22" t="s">
        <v>15</v>
      </c>
      <c r="M22" t="s">
        <v>19</v>
      </c>
      <c r="N22">
        <v>15</v>
      </c>
      <c r="O22" s="10">
        <f>AVERAGE(E11:E13)</f>
        <v>16.733333333333334</v>
      </c>
      <c r="P22" t="s">
        <v>14</v>
      </c>
      <c r="Q22" t="s">
        <v>19</v>
      </c>
      <c r="R22">
        <v>15</v>
      </c>
      <c r="S22" s="10">
        <f>AVERAGE(E23:E25)</f>
        <v>5.0566666666666658</v>
      </c>
      <c r="T22" t="s">
        <v>9</v>
      </c>
      <c r="U22" t="s">
        <v>19</v>
      </c>
      <c r="V22">
        <v>15</v>
      </c>
      <c r="W22" s="10">
        <f>AVERAGE(E35:E37)</f>
        <v>2.8333333333333335</v>
      </c>
    </row>
    <row r="23" spans="1:23" ht="15.75" x14ac:dyDescent="0.25">
      <c r="A23" s="8" t="s">
        <v>14</v>
      </c>
      <c r="B23" s="7" t="s">
        <v>13</v>
      </c>
      <c r="C23" s="3">
        <v>14.7</v>
      </c>
      <c r="D23" s="3">
        <v>8.9</v>
      </c>
      <c r="E23" s="3">
        <v>5.6</v>
      </c>
      <c r="F23" s="3">
        <v>5.8</v>
      </c>
      <c r="G23" s="3">
        <v>9.3000000000000007</v>
      </c>
      <c r="H23" s="3">
        <v>5.8000000000000007</v>
      </c>
      <c r="I23" s="3">
        <v>4.2</v>
      </c>
      <c r="J23" s="3">
        <v>2.6000000000000005</v>
      </c>
      <c r="L23" t="s">
        <v>15</v>
      </c>
      <c r="M23" t="s">
        <v>19</v>
      </c>
      <c r="N23">
        <v>20</v>
      </c>
      <c r="O23" s="10">
        <f>AVERAGE(F11:F13)</f>
        <v>16.3</v>
      </c>
      <c r="P23" t="s">
        <v>14</v>
      </c>
      <c r="Q23" t="s">
        <v>19</v>
      </c>
      <c r="R23">
        <v>20</v>
      </c>
      <c r="S23" s="10">
        <f>AVERAGE(F23:F25)</f>
        <v>5.7333333333333334</v>
      </c>
      <c r="T23" t="s">
        <v>9</v>
      </c>
      <c r="U23" t="s">
        <v>19</v>
      </c>
      <c r="V23">
        <v>20</v>
      </c>
      <c r="W23" s="10">
        <f>AVERAGE(F35:F37)</f>
        <v>2.1</v>
      </c>
    </row>
    <row r="24" spans="1:23" ht="15.75" x14ac:dyDescent="0.25">
      <c r="A24" s="8" t="s">
        <v>14</v>
      </c>
      <c r="B24" s="7" t="s">
        <v>13</v>
      </c>
      <c r="C24" s="3">
        <v>4.0999999999999996</v>
      </c>
      <c r="D24" s="3">
        <v>3.9</v>
      </c>
      <c r="E24" s="3">
        <v>5.0999999999999996</v>
      </c>
      <c r="F24" s="3">
        <v>6.3</v>
      </c>
      <c r="G24" s="3">
        <v>6.3000000000000007</v>
      </c>
      <c r="H24" s="3">
        <v>13.8</v>
      </c>
      <c r="I24" s="3">
        <v>16.100000000000001</v>
      </c>
      <c r="J24" s="3">
        <v>18</v>
      </c>
      <c r="L24" t="s">
        <v>15</v>
      </c>
      <c r="M24" t="s">
        <v>19</v>
      </c>
      <c r="N24">
        <v>25</v>
      </c>
      <c r="O24" s="10">
        <f>AVERAGE(G11:G13)</f>
        <v>15.299999999999999</v>
      </c>
      <c r="P24" t="s">
        <v>14</v>
      </c>
      <c r="Q24" t="s">
        <v>19</v>
      </c>
      <c r="R24">
        <v>25</v>
      </c>
      <c r="S24" s="10">
        <f>AVERAGE(G23:G25)</f>
        <v>6.9000000000000012</v>
      </c>
      <c r="T24" t="s">
        <v>9</v>
      </c>
      <c r="U24" t="s">
        <v>19</v>
      </c>
      <c r="V24">
        <v>25</v>
      </c>
      <c r="W24" s="10">
        <f>AVERAGE(G35:G37)</f>
        <v>2.1</v>
      </c>
    </row>
    <row r="25" spans="1:23" ht="15.75" x14ac:dyDescent="0.25">
      <c r="A25" s="8" t="s">
        <v>14</v>
      </c>
      <c r="B25" s="7" t="s">
        <v>13</v>
      </c>
      <c r="C25" s="3">
        <v>2.8</v>
      </c>
      <c r="D25" s="3">
        <v>5.9</v>
      </c>
      <c r="E25" s="3">
        <v>4.47</v>
      </c>
      <c r="F25" s="3">
        <v>5.0999999999999996</v>
      </c>
      <c r="G25" s="3">
        <v>5.0999999999999996</v>
      </c>
      <c r="H25" s="3">
        <v>27.199999999999996</v>
      </c>
      <c r="I25" s="3">
        <v>9.1000000000000014</v>
      </c>
      <c r="J25" s="3">
        <v>9.0000000000000018</v>
      </c>
      <c r="L25" t="s">
        <v>15</v>
      </c>
      <c r="M25" t="s">
        <v>19</v>
      </c>
      <c r="N25">
        <v>30</v>
      </c>
      <c r="O25" s="10">
        <f>AVERAGE(H11:H13)</f>
        <v>11</v>
      </c>
      <c r="P25" t="s">
        <v>14</v>
      </c>
      <c r="Q25" t="s">
        <v>19</v>
      </c>
      <c r="R25">
        <v>30</v>
      </c>
      <c r="S25" s="10">
        <f>AVERAGE(H23:H25)</f>
        <v>15.6</v>
      </c>
      <c r="T25" t="s">
        <v>9</v>
      </c>
      <c r="U25" t="s">
        <v>19</v>
      </c>
      <c r="V25">
        <v>30</v>
      </c>
      <c r="W25" s="10">
        <f>AVERAGE(H35:H37)</f>
        <v>3.0333333333333337</v>
      </c>
    </row>
    <row r="26" spans="1:23" ht="15.75" x14ac:dyDescent="0.25">
      <c r="A26" s="8" t="s">
        <v>9</v>
      </c>
      <c r="B26" s="7" t="s">
        <v>10</v>
      </c>
      <c r="C26" s="3">
        <v>3.9</v>
      </c>
      <c r="D26" s="3">
        <v>5</v>
      </c>
      <c r="E26" s="3">
        <v>1.6</v>
      </c>
      <c r="F26" s="3">
        <v>6.2</v>
      </c>
      <c r="G26" s="3">
        <v>4.2</v>
      </c>
      <c r="H26" s="3">
        <v>3</v>
      </c>
      <c r="I26" s="3">
        <v>3.9000000000000008</v>
      </c>
      <c r="J26" s="3">
        <v>4.2</v>
      </c>
      <c r="L26" t="s">
        <v>15</v>
      </c>
      <c r="M26" t="s">
        <v>19</v>
      </c>
      <c r="N26">
        <v>35</v>
      </c>
      <c r="O26" s="10">
        <f>AVERAGE(I11:I13)</f>
        <v>10.966666666666669</v>
      </c>
      <c r="P26" t="s">
        <v>14</v>
      </c>
      <c r="Q26" t="s">
        <v>19</v>
      </c>
      <c r="R26">
        <v>35</v>
      </c>
      <c r="S26" s="10">
        <f>AVERAGE(I23:I25)</f>
        <v>9.8000000000000007</v>
      </c>
      <c r="T26" t="s">
        <v>9</v>
      </c>
      <c r="U26" t="s">
        <v>19</v>
      </c>
      <c r="V26">
        <v>35</v>
      </c>
      <c r="W26" s="10">
        <f>AVERAGE(I35:I37)</f>
        <v>4.5666666666666673</v>
      </c>
    </row>
    <row r="27" spans="1:23" ht="15.75" x14ac:dyDescent="0.25">
      <c r="A27" s="8" t="s">
        <v>9</v>
      </c>
      <c r="B27" s="7" t="s">
        <v>10</v>
      </c>
      <c r="C27" s="3">
        <v>17.600000000000001</v>
      </c>
      <c r="D27" s="3">
        <v>5.3</v>
      </c>
      <c r="E27" s="3">
        <v>8.5</v>
      </c>
      <c r="F27" s="3">
        <v>7.8</v>
      </c>
      <c r="G27" s="3">
        <v>7.8000000000000007</v>
      </c>
      <c r="H27" s="3">
        <v>11</v>
      </c>
      <c r="I27" s="3">
        <v>9.2000000000000011</v>
      </c>
      <c r="J27" s="3">
        <v>7.1999999999999993</v>
      </c>
      <c r="L27" t="s">
        <v>15</v>
      </c>
      <c r="M27" t="s">
        <v>19</v>
      </c>
      <c r="N27">
        <v>40</v>
      </c>
      <c r="O27" s="10">
        <f>AVERAGE(J11:J13)</f>
        <v>9.8000000000000007</v>
      </c>
      <c r="P27" t="s">
        <v>14</v>
      </c>
      <c r="Q27" t="s">
        <v>19</v>
      </c>
      <c r="R27">
        <v>40</v>
      </c>
      <c r="S27" s="10">
        <f>AVERAGE(J23:J25)</f>
        <v>9.8666666666666671</v>
      </c>
      <c r="T27" t="s">
        <v>9</v>
      </c>
      <c r="U27" t="s">
        <v>19</v>
      </c>
      <c r="V27">
        <v>40</v>
      </c>
      <c r="W27" s="10">
        <f>AVERAGE(J35:J37)</f>
        <v>6.7666666666666684</v>
      </c>
    </row>
    <row r="28" spans="1:23" ht="15.75" x14ac:dyDescent="0.25">
      <c r="A28" s="8" t="s">
        <v>9</v>
      </c>
      <c r="B28" s="7" t="s">
        <v>10</v>
      </c>
      <c r="C28" s="3">
        <v>8.8000000000000007</v>
      </c>
      <c r="D28" s="3">
        <v>10.8</v>
      </c>
      <c r="E28" s="3">
        <v>8.6999999999999993</v>
      </c>
      <c r="F28" s="3">
        <v>11.6</v>
      </c>
      <c r="G28" s="3">
        <v>5</v>
      </c>
      <c r="H28" s="3">
        <v>3.3000000000000003</v>
      </c>
      <c r="I28" s="3">
        <v>4.2</v>
      </c>
      <c r="J28" s="3">
        <v>0.7</v>
      </c>
      <c r="L28" t="s">
        <v>15</v>
      </c>
      <c r="M28" t="s">
        <v>20</v>
      </c>
      <c r="N28">
        <v>5</v>
      </c>
      <c r="O28" s="10">
        <f>AVERAGE(C17:C19)</f>
        <v>20.099999999999998</v>
      </c>
      <c r="P28" t="s">
        <v>14</v>
      </c>
      <c r="Q28" t="s">
        <v>20</v>
      </c>
      <c r="R28">
        <v>5</v>
      </c>
      <c r="S28" s="10">
        <f>AVERAGE(C17:C19)</f>
        <v>20.099999999999998</v>
      </c>
      <c r="T28" t="s">
        <v>9</v>
      </c>
      <c r="U28" t="s">
        <v>20</v>
      </c>
      <c r="V28">
        <v>5</v>
      </c>
      <c r="W28" s="10">
        <f>AVERAGE(C29:C31)</f>
        <v>7.1333333333333329</v>
      </c>
    </row>
    <row r="29" spans="1:23" ht="15.75" x14ac:dyDescent="0.25">
      <c r="A29" s="8" t="s">
        <v>9</v>
      </c>
      <c r="B29" s="7" t="s">
        <v>11</v>
      </c>
      <c r="C29" s="3">
        <v>5.6</v>
      </c>
      <c r="D29" s="3">
        <v>5.4</v>
      </c>
      <c r="E29" s="3">
        <v>3.5</v>
      </c>
      <c r="F29" s="3">
        <v>2.7</v>
      </c>
      <c r="G29" s="3">
        <v>7.5</v>
      </c>
      <c r="H29" s="3">
        <v>7.0000000000000018</v>
      </c>
      <c r="I29" s="3">
        <v>7.0000000000000018</v>
      </c>
      <c r="J29" s="3">
        <v>7.1999999999999993</v>
      </c>
      <c r="L29" t="s">
        <v>15</v>
      </c>
      <c r="M29" t="s">
        <v>20</v>
      </c>
      <c r="N29">
        <v>10</v>
      </c>
      <c r="O29" s="10">
        <f>AVERAGE(D17:D19)</f>
        <v>14.833333333333334</v>
      </c>
      <c r="P29" t="s">
        <v>14</v>
      </c>
      <c r="Q29" t="s">
        <v>20</v>
      </c>
      <c r="R29">
        <v>10</v>
      </c>
      <c r="S29" s="10">
        <f>AVERAGE(D17:D19)</f>
        <v>14.833333333333334</v>
      </c>
      <c r="T29" t="s">
        <v>9</v>
      </c>
      <c r="U29" t="s">
        <v>20</v>
      </c>
      <c r="V29">
        <v>10</v>
      </c>
      <c r="W29" s="10">
        <f>AVERAGE(D29:D31)</f>
        <v>6.5333333333333323</v>
      </c>
    </row>
    <row r="30" spans="1:23" ht="15.75" x14ac:dyDescent="0.25">
      <c r="A30" s="8" t="s">
        <v>9</v>
      </c>
      <c r="B30" s="7" t="s">
        <v>11</v>
      </c>
      <c r="C30" s="3">
        <v>12.4</v>
      </c>
      <c r="D30" s="3">
        <v>13.5</v>
      </c>
      <c r="E30" s="3">
        <v>7.8</v>
      </c>
      <c r="F30" s="3">
        <v>9.5</v>
      </c>
      <c r="G30" s="3">
        <v>10.700000000000001</v>
      </c>
      <c r="H30" s="3">
        <v>10.700000000000001</v>
      </c>
      <c r="I30" s="3">
        <v>14.100000000000001</v>
      </c>
      <c r="J30" s="3">
        <v>11.200000000000001</v>
      </c>
      <c r="L30" t="s">
        <v>15</v>
      </c>
      <c r="M30" t="s">
        <v>20</v>
      </c>
      <c r="N30">
        <v>15</v>
      </c>
      <c r="O30" s="10">
        <f>AVERAGE(E17:E19)</f>
        <v>14.666666666666666</v>
      </c>
      <c r="P30" t="s">
        <v>14</v>
      </c>
      <c r="Q30" t="s">
        <v>20</v>
      </c>
      <c r="R30">
        <v>15</v>
      </c>
      <c r="S30" s="10">
        <f>AVERAGE(E17:E19)</f>
        <v>14.666666666666666</v>
      </c>
      <c r="T30" t="s">
        <v>9</v>
      </c>
      <c r="U30" t="s">
        <v>20</v>
      </c>
      <c r="V30">
        <v>15</v>
      </c>
      <c r="W30" s="10">
        <f>AVERAGE(E29:E31)</f>
        <v>4.7333333333333334</v>
      </c>
    </row>
    <row r="31" spans="1:23" ht="15.75" x14ac:dyDescent="0.25">
      <c r="A31" s="8" t="s">
        <v>9</v>
      </c>
      <c r="B31" s="7" t="s">
        <v>11</v>
      </c>
      <c r="C31" s="3">
        <v>3.4</v>
      </c>
      <c r="D31" s="3">
        <v>0.7</v>
      </c>
      <c r="E31" s="3">
        <v>2.9</v>
      </c>
      <c r="F31" s="3">
        <v>4.9000000000000004</v>
      </c>
      <c r="G31" s="3">
        <v>7.1999999999999993</v>
      </c>
      <c r="H31" s="3">
        <v>7.1999999999999993</v>
      </c>
      <c r="I31" s="3">
        <v>9.9</v>
      </c>
      <c r="J31" s="3">
        <v>8.8000000000000007</v>
      </c>
      <c r="L31" t="s">
        <v>15</v>
      </c>
      <c r="M31" t="s">
        <v>20</v>
      </c>
      <c r="N31">
        <v>20</v>
      </c>
      <c r="O31" s="10">
        <f>AVERAGE(F17:F19)</f>
        <v>14.4</v>
      </c>
      <c r="P31" t="s">
        <v>14</v>
      </c>
      <c r="Q31" t="s">
        <v>20</v>
      </c>
      <c r="R31">
        <v>20</v>
      </c>
      <c r="S31" s="10">
        <f>AVERAGE(F17:F19)</f>
        <v>14.4</v>
      </c>
      <c r="T31" t="s">
        <v>9</v>
      </c>
      <c r="U31" t="s">
        <v>20</v>
      </c>
      <c r="V31">
        <v>20</v>
      </c>
      <c r="W31" s="10">
        <f>AVERAGE(F29:F31)</f>
        <v>5.7</v>
      </c>
    </row>
    <row r="32" spans="1:23" ht="15.75" x14ac:dyDescent="0.25">
      <c r="A32" s="8" t="s">
        <v>9</v>
      </c>
      <c r="B32" s="7" t="s">
        <v>12</v>
      </c>
      <c r="C32" s="3">
        <v>3</v>
      </c>
      <c r="D32" s="3">
        <v>2.8</v>
      </c>
      <c r="E32" s="3">
        <v>1.6</v>
      </c>
      <c r="F32" s="3">
        <v>3.3</v>
      </c>
      <c r="G32" s="3">
        <v>4.7</v>
      </c>
      <c r="H32" s="3">
        <v>3.3000000000000003</v>
      </c>
      <c r="I32" s="3">
        <v>6.1000000000000014</v>
      </c>
      <c r="J32" s="3">
        <v>8.8000000000000007</v>
      </c>
      <c r="L32" t="s">
        <v>15</v>
      </c>
      <c r="M32" t="s">
        <v>20</v>
      </c>
      <c r="N32">
        <v>25</v>
      </c>
      <c r="O32" s="10">
        <f>AVERAGE(G17:G19)</f>
        <v>18.566666666666666</v>
      </c>
      <c r="P32" t="s">
        <v>14</v>
      </c>
      <c r="Q32" t="s">
        <v>20</v>
      </c>
      <c r="R32">
        <v>25</v>
      </c>
      <c r="S32" s="10">
        <f>AVERAGE(G17:G19)</f>
        <v>18.566666666666666</v>
      </c>
      <c r="T32" t="s">
        <v>9</v>
      </c>
      <c r="U32" t="s">
        <v>20</v>
      </c>
      <c r="V32">
        <v>25</v>
      </c>
      <c r="W32" s="10">
        <f>AVERAGE(G29:G31)</f>
        <v>8.4666666666666668</v>
      </c>
    </row>
    <row r="33" spans="1:42" ht="15.75" x14ac:dyDescent="0.25">
      <c r="A33" s="8" t="s">
        <v>9</v>
      </c>
      <c r="B33" s="7" t="s">
        <v>12</v>
      </c>
      <c r="C33" s="3">
        <v>3.2</v>
      </c>
      <c r="D33" s="3">
        <v>2.8</v>
      </c>
      <c r="E33" s="3">
        <v>2.2000000000000002</v>
      </c>
      <c r="F33" s="3">
        <v>1.8</v>
      </c>
      <c r="G33" s="3">
        <v>3</v>
      </c>
      <c r="H33" s="3">
        <v>3</v>
      </c>
      <c r="I33" s="3">
        <v>6.3000000000000007</v>
      </c>
      <c r="J33" s="3">
        <v>5.6000000000000005</v>
      </c>
      <c r="L33" t="s">
        <v>15</v>
      </c>
      <c r="M33" t="s">
        <v>20</v>
      </c>
      <c r="N33">
        <v>30</v>
      </c>
      <c r="O33" s="10">
        <f>AVERAGE(H17:H19)</f>
        <v>12.666666666666666</v>
      </c>
      <c r="P33" t="s">
        <v>14</v>
      </c>
      <c r="Q33" t="s">
        <v>20</v>
      </c>
      <c r="R33">
        <v>30</v>
      </c>
      <c r="S33" s="10">
        <f>AVERAGE(H17:H19)</f>
        <v>12.666666666666666</v>
      </c>
      <c r="T33" t="s">
        <v>9</v>
      </c>
      <c r="U33" t="s">
        <v>20</v>
      </c>
      <c r="V33">
        <v>30</v>
      </c>
      <c r="W33" s="10">
        <f>AVERAGE(H29:H31)</f>
        <v>8.3000000000000007</v>
      </c>
    </row>
    <row r="34" spans="1:42" ht="15.75" x14ac:dyDescent="0.25">
      <c r="A34" s="8" t="s">
        <v>9</v>
      </c>
      <c r="B34" s="7" t="s">
        <v>12</v>
      </c>
      <c r="C34" s="3">
        <v>3</v>
      </c>
      <c r="D34" s="3">
        <v>1.3</v>
      </c>
      <c r="E34" s="3">
        <v>2.1</v>
      </c>
      <c r="F34" s="3">
        <v>1.9</v>
      </c>
      <c r="G34" s="3">
        <v>3.3000000000000003</v>
      </c>
      <c r="H34" s="3">
        <v>12.2</v>
      </c>
      <c r="I34" s="3">
        <v>11.400000000000002</v>
      </c>
      <c r="J34" s="3">
        <v>8.7000000000000011</v>
      </c>
      <c r="L34" t="s">
        <v>15</v>
      </c>
      <c r="M34" t="s">
        <v>20</v>
      </c>
      <c r="N34">
        <v>35</v>
      </c>
      <c r="O34" s="10">
        <f>AVERAGE(I17:I19)</f>
        <v>19.233333333333331</v>
      </c>
      <c r="P34" t="s">
        <v>14</v>
      </c>
      <c r="Q34" t="s">
        <v>20</v>
      </c>
      <c r="R34">
        <v>35</v>
      </c>
      <c r="S34" s="10">
        <f>AVERAGE(I17:I19)</f>
        <v>19.233333333333331</v>
      </c>
      <c r="T34" t="s">
        <v>9</v>
      </c>
      <c r="U34" t="s">
        <v>20</v>
      </c>
      <c r="V34">
        <v>35</v>
      </c>
      <c r="W34" s="10">
        <f>AVERAGE(I29:I31)</f>
        <v>10.333333333333334</v>
      </c>
    </row>
    <row r="35" spans="1:42" ht="15.75" x14ac:dyDescent="0.25">
      <c r="A35" s="8" t="s">
        <v>9</v>
      </c>
      <c r="B35" s="7" t="s">
        <v>13</v>
      </c>
      <c r="C35" s="3">
        <v>4.9000000000000004</v>
      </c>
      <c r="D35" s="3">
        <v>4.5</v>
      </c>
      <c r="E35" s="3">
        <v>3.8</v>
      </c>
      <c r="F35" s="3">
        <v>4.2</v>
      </c>
      <c r="G35" s="3">
        <v>4.2</v>
      </c>
      <c r="H35" s="3">
        <v>7.4</v>
      </c>
      <c r="I35" s="3">
        <v>7.6</v>
      </c>
      <c r="J35" s="3">
        <v>11.700000000000001</v>
      </c>
      <c r="L35" t="s">
        <v>15</v>
      </c>
      <c r="M35" t="s">
        <v>20</v>
      </c>
      <c r="N35">
        <v>40</v>
      </c>
      <c r="O35" s="10">
        <f>AVERAGE(J17:J19)</f>
        <v>17.933333333333334</v>
      </c>
      <c r="P35" t="s">
        <v>14</v>
      </c>
      <c r="Q35" t="s">
        <v>20</v>
      </c>
      <c r="R35">
        <v>40</v>
      </c>
      <c r="S35" s="10">
        <f>AVERAGE(J17:J19)</f>
        <v>17.933333333333334</v>
      </c>
      <c r="T35" t="s">
        <v>9</v>
      </c>
      <c r="U35" t="s">
        <v>20</v>
      </c>
      <c r="V35">
        <v>40</v>
      </c>
      <c r="W35" s="10">
        <f>AVERAGE(J29:J31)</f>
        <v>9.0666666666666664</v>
      </c>
      <c r="AP35" s="15"/>
    </row>
    <row r="36" spans="1:42" ht="15.75" x14ac:dyDescent="0.25">
      <c r="A36" s="8" t="s">
        <v>9</v>
      </c>
      <c r="B36" s="7" t="s">
        <v>13</v>
      </c>
      <c r="C36" s="3">
        <v>3.7</v>
      </c>
      <c r="D36" s="3">
        <v>6.7</v>
      </c>
      <c r="E36" s="3">
        <v>4.2</v>
      </c>
      <c r="F36" s="3">
        <v>0.9</v>
      </c>
      <c r="G36" s="3">
        <v>1.7999999999999998</v>
      </c>
      <c r="H36" s="3">
        <v>0.3</v>
      </c>
      <c r="I36" s="3">
        <v>1.3000000000000007</v>
      </c>
      <c r="J36" s="3">
        <v>2.2000000000000002</v>
      </c>
    </row>
    <row r="37" spans="1:42" ht="15.75" x14ac:dyDescent="0.25">
      <c r="A37" s="8" t="s">
        <v>9</v>
      </c>
      <c r="B37" s="7" t="s">
        <v>13</v>
      </c>
      <c r="C37" s="3">
        <v>3.4</v>
      </c>
      <c r="D37" s="3">
        <v>1.3</v>
      </c>
      <c r="E37" s="3">
        <v>0.5</v>
      </c>
      <c r="F37" s="3">
        <v>1.2</v>
      </c>
      <c r="G37" s="3">
        <v>0.30000000000000027</v>
      </c>
      <c r="H37" s="3">
        <v>1.4000000000000008</v>
      </c>
      <c r="I37" s="3">
        <v>4.8000000000000007</v>
      </c>
      <c r="J37" s="3">
        <v>6.4000000000000012</v>
      </c>
    </row>
  </sheetData>
  <autoFilter ref="A1:B37" xr:uid="{00000000-0001-0000-0200-000000000000}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7"/>
  <sheetViews>
    <sheetView topLeftCell="H1" zoomScale="70" zoomScaleNormal="70" workbookViewId="0">
      <selection activeCell="AG11" sqref="AG11"/>
    </sheetView>
  </sheetViews>
  <sheetFormatPr defaultRowHeight="15" x14ac:dyDescent="0.25"/>
  <cols>
    <col min="2" max="2" width="15.28515625" bestFit="1" customWidth="1"/>
  </cols>
  <sheetData>
    <row r="1" spans="1:24" s="4" customFormat="1" ht="15.75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24" ht="15.75" x14ac:dyDescent="0.25">
      <c r="A2" s="8" t="s">
        <v>9</v>
      </c>
      <c r="B2" s="7" t="s">
        <v>10</v>
      </c>
      <c r="C2" s="3">
        <v>5.56</v>
      </c>
      <c r="D2" s="3">
        <v>5.07</v>
      </c>
      <c r="E2" s="3">
        <v>5.01</v>
      </c>
      <c r="F2" s="3">
        <v>5.16</v>
      </c>
      <c r="G2" s="3">
        <v>5.37</v>
      </c>
      <c r="H2" s="3">
        <v>5.34</v>
      </c>
      <c r="I2" s="3">
        <v>5.3</v>
      </c>
      <c r="J2" s="3">
        <v>5.0199999999999996</v>
      </c>
    </row>
    <row r="3" spans="1:24" ht="15.75" x14ac:dyDescent="0.25">
      <c r="A3" s="8" t="s">
        <v>9</v>
      </c>
      <c r="B3" s="7" t="s">
        <v>10</v>
      </c>
      <c r="C3" s="3">
        <v>4.49</v>
      </c>
      <c r="D3" s="3">
        <v>4.84</v>
      </c>
      <c r="E3" s="3">
        <v>4.76</v>
      </c>
      <c r="F3" s="3">
        <v>4.84</v>
      </c>
      <c r="G3" s="3">
        <v>4.8899999999999997</v>
      </c>
      <c r="H3" s="3">
        <v>4.88</v>
      </c>
      <c r="I3" s="3">
        <v>4.8899999999999997</v>
      </c>
      <c r="J3" s="3">
        <v>4.8600000000000003</v>
      </c>
    </row>
    <row r="4" spans="1:24" ht="15.75" x14ac:dyDescent="0.25">
      <c r="A4" s="8" t="s">
        <v>9</v>
      </c>
      <c r="B4" s="7" t="s">
        <v>10</v>
      </c>
      <c r="C4" s="3">
        <v>4.5199999999999996</v>
      </c>
      <c r="D4" s="3">
        <v>4.33</v>
      </c>
      <c r="E4" s="3">
        <v>4.32</v>
      </c>
      <c r="F4" s="3">
        <v>4.53</v>
      </c>
      <c r="G4" s="3">
        <v>4.55</v>
      </c>
      <c r="H4" s="3">
        <v>4.53</v>
      </c>
      <c r="I4" s="3">
        <v>4.4800000000000004</v>
      </c>
      <c r="J4" s="3">
        <v>4.49</v>
      </c>
      <c r="M4" t="s">
        <v>22</v>
      </c>
      <c r="N4" t="s">
        <v>16</v>
      </c>
      <c r="O4" t="s">
        <v>21</v>
      </c>
      <c r="P4" t="s">
        <v>26</v>
      </c>
      <c r="Q4" t="s">
        <v>22</v>
      </c>
      <c r="R4" t="s">
        <v>16</v>
      </c>
      <c r="S4" t="s">
        <v>21</v>
      </c>
      <c r="T4" t="s">
        <v>26</v>
      </c>
      <c r="U4" t="s">
        <v>22</v>
      </c>
      <c r="V4" t="s">
        <v>16</v>
      </c>
      <c r="W4" t="s">
        <v>21</v>
      </c>
      <c r="X4" t="s">
        <v>26</v>
      </c>
    </row>
    <row r="5" spans="1:24" ht="15.75" x14ac:dyDescent="0.25">
      <c r="A5" s="8" t="s">
        <v>9</v>
      </c>
      <c r="B5" s="7" t="s">
        <v>11</v>
      </c>
      <c r="C5" s="3">
        <v>4.93</v>
      </c>
      <c r="D5" s="3">
        <v>4.6500000000000004</v>
      </c>
      <c r="E5" s="3">
        <v>5.01</v>
      </c>
      <c r="F5" s="3">
        <v>5.15</v>
      </c>
      <c r="G5" s="3">
        <v>5.15</v>
      </c>
      <c r="H5" s="3">
        <v>5.18</v>
      </c>
      <c r="I5" s="3">
        <v>5.17</v>
      </c>
      <c r="J5" s="3">
        <v>5.21</v>
      </c>
      <c r="M5" t="s">
        <v>15</v>
      </c>
      <c r="N5" t="s">
        <v>17</v>
      </c>
      <c r="O5">
        <v>5</v>
      </c>
      <c r="P5" s="10">
        <f>AVERAGE(C2:C4)</f>
        <v>4.8566666666666665</v>
      </c>
      <c r="Q5" t="s">
        <v>14</v>
      </c>
      <c r="R5" t="s">
        <v>17</v>
      </c>
      <c r="S5">
        <v>5</v>
      </c>
      <c r="T5" s="10">
        <f>AVERAGE(C14:C16)</f>
        <v>5.0033333333333339</v>
      </c>
      <c r="U5" t="s">
        <v>9</v>
      </c>
      <c r="V5" t="s">
        <v>17</v>
      </c>
      <c r="W5">
        <v>5</v>
      </c>
      <c r="X5" s="10">
        <f>AVERAGE(C26:C28)</f>
        <v>4.5666666666666664</v>
      </c>
    </row>
    <row r="6" spans="1:24" ht="15.75" x14ac:dyDescent="0.25">
      <c r="A6" s="8" t="s">
        <v>9</v>
      </c>
      <c r="B6" s="7" t="s">
        <v>11</v>
      </c>
      <c r="C6" s="3">
        <v>5.43</v>
      </c>
      <c r="D6" s="3">
        <v>5.23</v>
      </c>
      <c r="E6" s="3">
        <v>5.1100000000000003</v>
      </c>
      <c r="F6" s="3">
        <v>5.22</v>
      </c>
      <c r="G6" s="3">
        <v>5.25</v>
      </c>
      <c r="H6" s="3">
        <v>5.16</v>
      </c>
      <c r="I6" s="3">
        <v>5.1100000000000003</v>
      </c>
      <c r="J6" s="3">
        <v>5.18</v>
      </c>
      <c r="M6" t="s">
        <v>15</v>
      </c>
      <c r="N6" t="s">
        <v>17</v>
      </c>
      <c r="O6">
        <v>10</v>
      </c>
      <c r="P6" s="10">
        <f>AVERAGE(D2:D4)</f>
        <v>4.746666666666667</v>
      </c>
      <c r="Q6" t="s">
        <v>14</v>
      </c>
      <c r="R6" t="s">
        <v>17</v>
      </c>
      <c r="S6">
        <v>10</v>
      </c>
      <c r="T6" s="10">
        <f>AVERAGE(D14:D16)</f>
        <v>4.9866666666666672</v>
      </c>
      <c r="U6" t="s">
        <v>9</v>
      </c>
      <c r="V6" t="s">
        <v>17</v>
      </c>
      <c r="W6">
        <v>10</v>
      </c>
      <c r="X6" s="10">
        <f>AVERAGE(D26:D28)</f>
        <v>4.7966666666666669</v>
      </c>
    </row>
    <row r="7" spans="1:24" ht="15.75" x14ac:dyDescent="0.25">
      <c r="A7" s="8" t="s">
        <v>9</v>
      </c>
      <c r="B7" s="7" t="s">
        <v>11</v>
      </c>
      <c r="C7" s="3">
        <v>6.63</v>
      </c>
      <c r="D7" s="3">
        <v>5.2</v>
      </c>
      <c r="E7" s="3">
        <v>5.24</v>
      </c>
      <c r="F7" s="3">
        <v>5.2</v>
      </c>
      <c r="G7" s="3">
        <v>5.08</v>
      </c>
      <c r="H7" s="3">
        <v>5.09</v>
      </c>
      <c r="I7" s="3">
        <v>5.23</v>
      </c>
      <c r="J7" s="3">
        <v>5.34</v>
      </c>
      <c r="M7" t="s">
        <v>15</v>
      </c>
      <c r="N7" t="s">
        <v>17</v>
      </c>
      <c r="O7">
        <v>15</v>
      </c>
      <c r="P7" s="10">
        <f>AVERAGE(E2:E4)</f>
        <v>4.6966666666666663</v>
      </c>
      <c r="Q7" t="s">
        <v>14</v>
      </c>
      <c r="R7" t="s">
        <v>17</v>
      </c>
      <c r="S7">
        <v>15</v>
      </c>
      <c r="T7" s="10">
        <f>AVERAGE(E14:E16)</f>
        <v>4.99</v>
      </c>
      <c r="U7" t="s">
        <v>9</v>
      </c>
      <c r="V7" t="s">
        <v>17</v>
      </c>
      <c r="W7">
        <v>15</v>
      </c>
      <c r="X7" s="10">
        <f>AVERAGE(E26:E28)</f>
        <v>4.6433333333333335</v>
      </c>
    </row>
    <row r="8" spans="1:24" ht="15.75" x14ac:dyDescent="0.25">
      <c r="A8" s="8" t="s">
        <v>9</v>
      </c>
      <c r="B8" s="7" t="s">
        <v>12</v>
      </c>
      <c r="C8" s="3">
        <v>5.1100000000000003</v>
      </c>
      <c r="D8" s="3">
        <v>5.89</v>
      </c>
      <c r="E8" s="3">
        <v>4.8600000000000003</v>
      </c>
      <c r="F8" s="3">
        <v>4.95</v>
      </c>
      <c r="G8" s="3">
        <v>5.04</v>
      </c>
      <c r="H8" s="3">
        <v>5.12</v>
      </c>
      <c r="I8" s="3">
        <v>5.13</v>
      </c>
      <c r="J8" s="3">
        <v>5.15</v>
      </c>
      <c r="M8" t="s">
        <v>15</v>
      </c>
      <c r="N8" t="s">
        <v>17</v>
      </c>
      <c r="O8">
        <v>20</v>
      </c>
      <c r="P8" s="10">
        <f>AVERAGE(F2:F4)</f>
        <v>4.8433333333333337</v>
      </c>
      <c r="Q8" t="s">
        <v>14</v>
      </c>
      <c r="R8" t="s">
        <v>17</v>
      </c>
      <c r="S8">
        <v>20</v>
      </c>
      <c r="T8" s="10">
        <f>AVERAGE(F14:F16)</f>
        <v>5.2866666666666662</v>
      </c>
      <c r="U8" t="s">
        <v>9</v>
      </c>
      <c r="V8" t="s">
        <v>17</v>
      </c>
      <c r="W8">
        <v>20</v>
      </c>
      <c r="X8" s="10">
        <f>AVERAGE(F26:F28)</f>
        <v>4.5533333333333337</v>
      </c>
    </row>
    <row r="9" spans="1:24" ht="15.75" x14ac:dyDescent="0.25">
      <c r="A9" s="8" t="s">
        <v>9</v>
      </c>
      <c r="B9" s="7" t="s">
        <v>12</v>
      </c>
      <c r="C9" s="3">
        <v>5.2</v>
      </c>
      <c r="D9" s="3">
        <v>5.8</v>
      </c>
      <c r="E9" s="3">
        <v>4.58</v>
      </c>
      <c r="F9" s="3">
        <v>4.63</v>
      </c>
      <c r="G9" s="3">
        <v>4.7300000000000004</v>
      </c>
      <c r="H9" s="3">
        <v>4.84</v>
      </c>
      <c r="I9" s="3">
        <v>4.8600000000000003</v>
      </c>
      <c r="J9" s="3">
        <v>4.8099999999999996</v>
      </c>
      <c r="M9" t="s">
        <v>15</v>
      </c>
      <c r="N9" t="s">
        <v>17</v>
      </c>
      <c r="O9">
        <v>25</v>
      </c>
      <c r="P9" s="10">
        <f>AVERAGE(G2:G4)</f>
        <v>4.9366666666666665</v>
      </c>
      <c r="Q9" t="s">
        <v>14</v>
      </c>
      <c r="R9" t="s">
        <v>17</v>
      </c>
      <c r="S9">
        <v>25</v>
      </c>
      <c r="T9" s="10">
        <f>AVERAGE(G14:G16)</f>
        <v>5.0166666666666666</v>
      </c>
      <c r="U9" t="s">
        <v>9</v>
      </c>
      <c r="V9" t="s">
        <v>17</v>
      </c>
      <c r="W9">
        <v>25</v>
      </c>
      <c r="X9" s="10">
        <f>AVERAGE(G26:G28)</f>
        <v>4.5166666666666666</v>
      </c>
    </row>
    <row r="10" spans="1:24" ht="15.75" x14ac:dyDescent="0.25">
      <c r="A10" s="8" t="s">
        <v>9</v>
      </c>
      <c r="B10" s="7" t="s">
        <v>12</v>
      </c>
      <c r="C10" s="3">
        <v>4.59</v>
      </c>
      <c r="D10" s="3">
        <v>4.37</v>
      </c>
      <c r="E10" s="3">
        <v>4.62</v>
      </c>
      <c r="F10" s="3">
        <v>4.7300000000000004</v>
      </c>
      <c r="G10" s="3">
        <v>4.9000000000000004</v>
      </c>
      <c r="H10" s="3">
        <v>4.0999999999999996</v>
      </c>
      <c r="I10" s="3">
        <v>5.23</v>
      </c>
      <c r="J10" s="3">
        <v>5.19</v>
      </c>
      <c r="M10" t="s">
        <v>15</v>
      </c>
      <c r="N10" t="s">
        <v>17</v>
      </c>
      <c r="O10">
        <v>30</v>
      </c>
      <c r="P10" s="10">
        <f>AVERAGE(H2:H4)</f>
        <v>4.916666666666667</v>
      </c>
      <c r="Q10" t="s">
        <v>14</v>
      </c>
      <c r="R10" t="s">
        <v>17</v>
      </c>
      <c r="S10">
        <v>30</v>
      </c>
      <c r="T10" s="10">
        <f>AVERAGE(H14:H16)</f>
        <v>5.0199999999999996</v>
      </c>
      <c r="U10" t="s">
        <v>9</v>
      </c>
      <c r="V10" t="s">
        <v>17</v>
      </c>
      <c r="W10">
        <v>30</v>
      </c>
      <c r="X10" s="10">
        <f>AVERAGE(H26:H28)</f>
        <v>4.6033333333333335</v>
      </c>
    </row>
    <row r="11" spans="1:24" ht="15.75" x14ac:dyDescent="0.25">
      <c r="A11" s="8" t="s">
        <v>9</v>
      </c>
      <c r="B11" s="7" t="s">
        <v>13</v>
      </c>
      <c r="C11" s="3">
        <v>4.63</v>
      </c>
      <c r="D11" s="3">
        <v>4.45</v>
      </c>
      <c r="E11" s="3">
        <v>5.15</v>
      </c>
      <c r="F11" s="3">
        <v>5.13</v>
      </c>
      <c r="G11" s="3">
        <v>5.1100000000000003</v>
      </c>
      <c r="H11" s="3">
        <v>5.2</v>
      </c>
      <c r="I11" s="3">
        <v>5.22</v>
      </c>
      <c r="J11" s="3">
        <v>5.33</v>
      </c>
      <c r="M11" t="s">
        <v>15</v>
      </c>
      <c r="N11" t="s">
        <v>17</v>
      </c>
      <c r="O11">
        <v>35</v>
      </c>
      <c r="P11" s="10">
        <f>AVERAGE(I2:I4)</f>
        <v>4.8899999999999997</v>
      </c>
      <c r="Q11" t="s">
        <v>14</v>
      </c>
      <c r="R11" t="s">
        <v>17</v>
      </c>
      <c r="S11">
        <v>35</v>
      </c>
      <c r="T11" s="10">
        <f>AVERAGE(I14:I16)</f>
        <v>4.956666666666667</v>
      </c>
      <c r="U11" t="s">
        <v>9</v>
      </c>
      <c r="V11" t="s">
        <v>17</v>
      </c>
      <c r="W11">
        <v>35</v>
      </c>
      <c r="X11" s="10">
        <f>AVERAGE(I26:I28)</f>
        <v>4.5966666666666667</v>
      </c>
    </row>
    <row r="12" spans="1:24" ht="15.75" x14ac:dyDescent="0.25">
      <c r="A12" s="8" t="s">
        <v>9</v>
      </c>
      <c r="B12" s="7" t="s">
        <v>13</v>
      </c>
      <c r="C12" s="3">
        <v>4.58</v>
      </c>
      <c r="D12" s="3">
        <v>4.29</v>
      </c>
      <c r="E12" s="3">
        <v>4.34</v>
      </c>
      <c r="F12" s="3">
        <v>4.42</v>
      </c>
      <c r="G12" s="3">
        <v>4.47</v>
      </c>
      <c r="H12" s="3">
        <v>4.3899999999999997</v>
      </c>
      <c r="I12" s="3">
        <v>4.49</v>
      </c>
      <c r="J12" s="3">
        <v>4.46</v>
      </c>
      <c r="M12" t="s">
        <v>15</v>
      </c>
      <c r="N12" t="s">
        <v>17</v>
      </c>
      <c r="O12">
        <v>40</v>
      </c>
      <c r="P12" s="10">
        <f>AVERAGE(J2:J4)</f>
        <v>4.79</v>
      </c>
      <c r="Q12" t="s">
        <v>14</v>
      </c>
      <c r="R12" t="s">
        <v>17</v>
      </c>
      <c r="S12">
        <v>40</v>
      </c>
      <c r="T12" s="10">
        <f>AVERAGE(J14:J16)</f>
        <v>4.96</v>
      </c>
      <c r="U12" t="s">
        <v>9</v>
      </c>
      <c r="V12" t="s">
        <v>17</v>
      </c>
      <c r="W12">
        <v>40</v>
      </c>
      <c r="X12" s="10">
        <f>AVERAGE(J26:J28)</f>
        <v>4.6399999999999997</v>
      </c>
    </row>
    <row r="13" spans="1:24" ht="15.75" x14ac:dyDescent="0.25">
      <c r="A13" s="8" t="s">
        <v>9</v>
      </c>
      <c r="B13" s="7" t="s">
        <v>13</v>
      </c>
      <c r="C13" s="3">
        <v>4.2</v>
      </c>
      <c r="D13" s="3">
        <v>4.3099999999999996</v>
      </c>
      <c r="E13" s="3">
        <v>4.3899999999999997</v>
      </c>
      <c r="F13" s="3">
        <v>4.34</v>
      </c>
      <c r="G13" s="3">
        <v>4.42</v>
      </c>
      <c r="H13" s="3">
        <v>4.43</v>
      </c>
      <c r="I13" s="3">
        <v>4.41</v>
      </c>
      <c r="J13" s="3">
        <v>4.46</v>
      </c>
      <c r="M13" t="s">
        <v>15</v>
      </c>
      <c r="N13" t="s">
        <v>18</v>
      </c>
      <c r="O13">
        <v>5</v>
      </c>
      <c r="P13" s="10">
        <f>AVERAGE(C8:C10)</f>
        <v>4.9666666666666668</v>
      </c>
      <c r="Q13" t="s">
        <v>14</v>
      </c>
      <c r="R13" t="s">
        <v>18</v>
      </c>
      <c r="S13">
        <v>5</v>
      </c>
      <c r="T13" s="10">
        <f>AVERAGE(C20:C22)</f>
        <v>4.6433333333333335</v>
      </c>
      <c r="U13" t="s">
        <v>9</v>
      </c>
      <c r="V13" t="s">
        <v>18</v>
      </c>
      <c r="W13">
        <v>5</v>
      </c>
      <c r="X13" s="10">
        <f>AVERAGE(C32:C34)</f>
        <v>4.5933333333333337</v>
      </c>
    </row>
    <row r="14" spans="1:24" ht="15.75" x14ac:dyDescent="0.25">
      <c r="A14" s="8" t="s">
        <v>14</v>
      </c>
      <c r="B14" s="7" t="s">
        <v>10</v>
      </c>
      <c r="C14" s="3">
        <v>5.3</v>
      </c>
      <c r="D14" s="3">
        <v>5.3</v>
      </c>
      <c r="E14" s="3">
        <v>5.24</v>
      </c>
      <c r="F14" s="3">
        <v>5.0999999999999996</v>
      </c>
      <c r="G14" s="3">
        <v>4.95</v>
      </c>
      <c r="H14" s="3">
        <v>4.88</v>
      </c>
      <c r="I14" s="3">
        <v>4.87</v>
      </c>
      <c r="J14" s="3">
        <v>4.8600000000000003</v>
      </c>
      <c r="M14" t="s">
        <v>15</v>
      </c>
      <c r="N14" t="s">
        <v>18</v>
      </c>
      <c r="O14">
        <v>10</v>
      </c>
      <c r="P14" s="10">
        <f>AVERAGE(D8:D10)</f>
        <v>5.3533333333333326</v>
      </c>
      <c r="Q14" t="s">
        <v>14</v>
      </c>
      <c r="R14" t="s">
        <v>18</v>
      </c>
      <c r="S14">
        <v>10</v>
      </c>
      <c r="T14" s="10">
        <f>AVERAGE(D20:D22)</f>
        <v>4.7733333333333334</v>
      </c>
      <c r="U14" t="s">
        <v>9</v>
      </c>
      <c r="V14" t="s">
        <v>18</v>
      </c>
      <c r="W14">
        <v>10</v>
      </c>
      <c r="X14" s="10">
        <f>AVERAGE(D32:D34)</f>
        <v>4.7400000000000011</v>
      </c>
    </row>
    <row r="15" spans="1:24" ht="15.75" x14ac:dyDescent="0.25">
      <c r="A15" s="8" t="s">
        <v>14</v>
      </c>
      <c r="B15" s="7" t="s">
        <v>10</v>
      </c>
      <c r="C15" s="3">
        <v>4.7699999999999996</v>
      </c>
      <c r="D15" s="3">
        <v>4.72</v>
      </c>
      <c r="E15" s="3">
        <v>4.72</v>
      </c>
      <c r="F15" s="3">
        <v>4.87</v>
      </c>
      <c r="G15" s="3">
        <v>4.88</v>
      </c>
      <c r="H15" s="3">
        <v>4.8099999999999996</v>
      </c>
      <c r="I15" s="3">
        <v>4.8099999999999996</v>
      </c>
      <c r="J15" s="3">
        <v>4.8499999999999996</v>
      </c>
      <c r="M15" t="s">
        <v>15</v>
      </c>
      <c r="N15" t="s">
        <v>18</v>
      </c>
      <c r="O15">
        <v>15</v>
      </c>
      <c r="P15" s="10">
        <f>AVERAGE(E8:E10)</f>
        <v>4.6866666666666674</v>
      </c>
      <c r="Q15" t="s">
        <v>14</v>
      </c>
      <c r="R15" t="s">
        <v>18</v>
      </c>
      <c r="S15">
        <v>15</v>
      </c>
      <c r="T15" s="10">
        <f>AVERAGE(E20:E22)</f>
        <v>4.84</v>
      </c>
      <c r="U15" t="s">
        <v>9</v>
      </c>
      <c r="V15" t="s">
        <v>18</v>
      </c>
      <c r="W15">
        <v>15</v>
      </c>
      <c r="X15" s="10">
        <f>AVERAGE(E32:E34)</f>
        <v>4.8366666666666669</v>
      </c>
    </row>
    <row r="16" spans="1:24" ht="15.75" x14ac:dyDescent="0.25">
      <c r="A16" s="8" t="s">
        <v>14</v>
      </c>
      <c r="B16" s="7" t="s">
        <v>10</v>
      </c>
      <c r="C16" s="3">
        <v>4.9400000000000004</v>
      </c>
      <c r="D16" s="3">
        <v>4.9400000000000004</v>
      </c>
      <c r="E16" s="3">
        <v>5.01</v>
      </c>
      <c r="F16" s="3">
        <v>5.89</v>
      </c>
      <c r="G16" s="3">
        <v>5.22</v>
      </c>
      <c r="H16" s="3">
        <v>5.37</v>
      </c>
      <c r="I16" s="3">
        <v>5.19</v>
      </c>
      <c r="J16" s="3">
        <v>5.17</v>
      </c>
      <c r="M16" t="s">
        <v>15</v>
      </c>
      <c r="N16" t="s">
        <v>18</v>
      </c>
      <c r="O16">
        <v>20</v>
      </c>
      <c r="P16" s="10">
        <f>AVERAGE(F8:F10)</f>
        <v>4.7700000000000005</v>
      </c>
      <c r="Q16" t="s">
        <v>14</v>
      </c>
      <c r="R16" t="s">
        <v>18</v>
      </c>
      <c r="S16">
        <v>20</v>
      </c>
      <c r="T16" s="10">
        <f>AVERAGE(F20:F22)</f>
        <v>4.9000000000000004</v>
      </c>
      <c r="U16" t="s">
        <v>9</v>
      </c>
      <c r="V16" t="s">
        <v>18</v>
      </c>
      <c r="W16">
        <v>20</v>
      </c>
      <c r="X16" s="10">
        <f>AVERAGE(F32:F34)</f>
        <v>4.9933333333333332</v>
      </c>
    </row>
    <row r="17" spans="1:61" ht="15.75" x14ac:dyDescent="0.25">
      <c r="A17" s="8" t="s">
        <v>14</v>
      </c>
      <c r="B17" s="7" t="s">
        <v>11</v>
      </c>
      <c r="C17" s="3">
        <v>4.6900000000000004</v>
      </c>
      <c r="D17" s="3">
        <v>4.8099999999999996</v>
      </c>
      <c r="E17" s="3">
        <v>4.96</v>
      </c>
      <c r="F17" s="3">
        <v>5</v>
      </c>
      <c r="G17" s="3">
        <v>4.97</v>
      </c>
      <c r="H17" s="3">
        <v>4.96</v>
      </c>
      <c r="I17" s="3">
        <v>5.01</v>
      </c>
      <c r="J17" s="3">
        <v>5.13</v>
      </c>
      <c r="M17" t="s">
        <v>15</v>
      </c>
      <c r="N17" t="s">
        <v>18</v>
      </c>
      <c r="O17">
        <v>25</v>
      </c>
      <c r="P17" s="10">
        <f>AVERAGE(G8:G10)</f>
        <v>4.8899999999999997</v>
      </c>
      <c r="Q17" t="s">
        <v>14</v>
      </c>
      <c r="R17" t="s">
        <v>18</v>
      </c>
      <c r="S17">
        <v>25</v>
      </c>
      <c r="T17" s="10">
        <f>AVERAGE(G20:G22)</f>
        <v>4.9933333333333332</v>
      </c>
      <c r="U17" t="s">
        <v>9</v>
      </c>
      <c r="V17" t="s">
        <v>18</v>
      </c>
      <c r="W17">
        <v>25</v>
      </c>
      <c r="X17" s="10">
        <f>AVERAGE(G32:G34)</f>
        <v>4.9366666666666665</v>
      </c>
      <c r="BA17">
        <v>5.6633333333333331</v>
      </c>
      <c r="BB17">
        <v>5.6633333333333331</v>
      </c>
      <c r="BC17">
        <v>5.0266666666666673</v>
      </c>
      <c r="BD17">
        <v>5.12</v>
      </c>
      <c r="BE17">
        <v>5.19</v>
      </c>
      <c r="BF17">
        <v>5.16</v>
      </c>
      <c r="BG17">
        <v>5.1433333333333335</v>
      </c>
      <c r="BH17">
        <v>5.1700000000000008</v>
      </c>
      <c r="BI17">
        <v>5.2433333333333332</v>
      </c>
    </row>
    <row r="18" spans="1:61" ht="15.75" x14ac:dyDescent="0.25">
      <c r="A18" s="8" t="s">
        <v>14</v>
      </c>
      <c r="B18" s="7" t="s">
        <v>11</v>
      </c>
      <c r="C18" s="3">
        <v>5.0199999999999996</v>
      </c>
      <c r="D18" s="3">
        <v>5.73</v>
      </c>
      <c r="E18" s="3">
        <v>5.24</v>
      </c>
      <c r="F18" s="3">
        <v>5.0199999999999996</v>
      </c>
      <c r="G18" s="3">
        <v>5.09</v>
      </c>
      <c r="H18" s="3">
        <v>5.15</v>
      </c>
      <c r="I18" s="3">
        <v>5.36</v>
      </c>
      <c r="J18" s="3">
        <v>5.41</v>
      </c>
      <c r="M18" t="s">
        <v>15</v>
      </c>
      <c r="N18" t="s">
        <v>18</v>
      </c>
      <c r="O18">
        <v>30</v>
      </c>
      <c r="P18" s="10">
        <f>AVERAGE(H7:H9)</f>
        <v>5.0166666666666666</v>
      </c>
      <c r="Q18" t="s">
        <v>14</v>
      </c>
      <c r="R18" t="s">
        <v>18</v>
      </c>
      <c r="S18">
        <v>30</v>
      </c>
      <c r="T18" s="10">
        <f>AVERAGE(H20:H22)</f>
        <v>5.07</v>
      </c>
      <c r="U18" t="s">
        <v>9</v>
      </c>
      <c r="V18" t="s">
        <v>18</v>
      </c>
      <c r="W18">
        <v>30</v>
      </c>
      <c r="X18" s="10">
        <f>AVERAGE(H32:H34)</f>
        <v>4.83</v>
      </c>
      <c r="BA18">
        <v>5.0266666666666673</v>
      </c>
    </row>
    <row r="19" spans="1:61" ht="15.75" x14ac:dyDescent="0.25">
      <c r="A19" s="8" t="s">
        <v>14</v>
      </c>
      <c r="B19" s="7" t="s">
        <v>11</v>
      </c>
      <c r="C19" s="3">
        <v>4.9800000000000004</v>
      </c>
      <c r="D19" s="3">
        <v>4.97</v>
      </c>
      <c r="E19" s="3">
        <v>5.2</v>
      </c>
      <c r="F19" s="3">
        <v>5.2</v>
      </c>
      <c r="G19" s="3">
        <v>5.29</v>
      </c>
      <c r="H19" s="3">
        <v>5.26</v>
      </c>
      <c r="I19" s="3">
        <v>5.34</v>
      </c>
      <c r="J19" s="3">
        <v>5.36</v>
      </c>
      <c r="M19" t="s">
        <v>15</v>
      </c>
      <c r="N19" t="s">
        <v>18</v>
      </c>
      <c r="O19">
        <v>35</v>
      </c>
      <c r="P19" s="10">
        <f>AVERAGE(I7:I9)</f>
        <v>5.0733333333333333</v>
      </c>
      <c r="Q19" t="s">
        <v>14</v>
      </c>
      <c r="R19" t="s">
        <v>18</v>
      </c>
      <c r="S19">
        <v>35</v>
      </c>
      <c r="T19" s="10">
        <f>AVERAGE(I20:I22)</f>
        <v>4.9766666666666666</v>
      </c>
      <c r="U19" t="s">
        <v>9</v>
      </c>
      <c r="V19" t="s">
        <v>18</v>
      </c>
      <c r="W19">
        <v>35</v>
      </c>
      <c r="X19" s="10">
        <f>AVERAGE(I32:I34)</f>
        <v>4.8099999999999996</v>
      </c>
      <c r="BA19">
        <v>5.12</v>
      </c>
    </row>
    <row r="20" spans="1:61" ht="15.75" x14ac:dyDescent="0.25">
      <c r="A20" s="8" t="s">
        <v>14</v>
      </c>
      <c r="B20" s="7" t="s">
        <v>12</v>
      </c>
      <c r="C20" s="3">
        <v>4.4000000000000004</v>
      </c>
      <c r="D20" s="3">
        <v>4.55</v>
      </c>
      <c r="E20" s="3">
        <v>4.5999999999999996</v>
      </c>
      <c r="F20" s="3">
        <v>4.7</v>
      </c>
      <c r="G20" s="3">
        <v>4.88</v>
      </c>
      <c r="H20" s="3">
        <v>5.15</v>
      </c>
      <c r="I20" s="3">
        <v>5.0599999999999996</v>
      </c>
      <c r="J20" s="3">
        <v>5.07</v>
      </c>
      <c r="M20" t="s">
        <v>15</v>
      </c>
      <c r="N20" t="s">
        <v>18</v>
      </c>
      <c r="O20">
        <v>40</v>
      </c>
      <c r="P20" s="10">
        <f>AVERAGE(J8:J10)</f>
        <v>5.0500000000000007</v>
      </c>
      <c r="Q20" t="s">
        <v>14</v>
      </c>
      <c r="R20" t="s">
        <v>18</v>
      </c>
      <c r="S20">
        <v>40</v>
      </c>
      <c r="T20" s="10">
        <f>AVERAGE(J20:J22)</f>
        <v>5.0466666666666669</v>
      </c>
      <c r="U20" t="s">
        <v>9</v>
      </c>
      <c r="V20" t="s">
        <v>18</v>
      </c>
      <c r="W20">
        <v>40</v>
      </c>
      <c r="X20" s="10">
        <f>AVERAGE(J32:J34)</f>
        <v>4.7866666666666671</v>
      </c>
      <c r="BA20">
        <v>5.19</v>
      </c>
    </row>
    <row r="21" spans="1:61" ht="15.75" x14ac:dyDescent="0.25">
      <c r="A21" s="8" t="s">
        <v>14</v>
      </c>
      <c r="B21" s="7" t="s">
        <v>12</v>
      </c>
      <c r="C21" s="3">
        <v>4.72</v>
      </c>
      <c r="D21" s="3">
        <v>5.07</v>
      </c>
      <c r="E21" s="3">
        <v>5.16</v>
      </c>
      <c r="F21" s="3">
        <v>5.17</v>
      </c>
      <c r="G21" s="3">
        <v>5.21</v>
      </c>
      <c r="H21" s="3">
        <v>5.07</v>
      </c>
      <c r="I21" s="3">
        <v>4.8600000000000003</v>
      </c>
      <c r="J21" s="3">
        <v>4.92</v>
      </c>
      <c r="M21" t="s">
        <v>15</v>
      </c>
      <c r="N21" t="s">
        <v>19</v>
      </c>
      <c r="O21">
        <v>5</v>
      </c>
      <c r="P21" s="10">
        <f>AVERAGE(C11:C13)</f>
        <v>4.47</v>
      </c>
      <c r="Q21" t="s">
        <v>14</v>
      </c>
      <c r="R21" t="s">
        <v>19</v>
      </c>
      <c r="S21">
        <v>5</v>
      </c>
      <c r="T21" s="10">
        <f>AVERAGE(C23:C25)</f>
        <v>4.1400000000000006</v>
      </c>
      <c r="U21" t="s">
        <v>9</v>
      </c>
      <c r="V21" t="s">
        <v>19</v>
      </c>
      <c r="W21">
        <v>5</v>
      </c>
      <c r="X21" s="10">
        <f>AVERAGE(C35:C37)</f>
        <v>4.5900000000000007</v>
      </c>
      <c r="BA21">
        <v>5.16</v>
      </c>
    </row>
    <row r="22" spans="1:61" ht="15.75" x14ac:dyDescent="0.25">
      <c r="A22" s="8" t="s">
        <v>14</v>
      </c>
      <c r="B22" s="7" t="s">
        <v>12</v>
      </c>
      <c r="C22" s="3">
        <v>4.8099999999999996</v>
      </c>
      <c r="D22" s="3">
        <v>4.7</v>
      </c>
      <c r="E22" s="3">
        <v>4.76</v>
      </c>
      <c r="F22" s="3">
        <v>4.83</v>
      </c>
      <c r="G22" s="3">
        <v>4.8899999999999997</v>
      </c>
      <c r="H22" s="3">
        <v>4.99</v>
      </c>
      <c r="I22" s="3">
        <v>5.01</v>
      </c>
      <c r="J22" s="3">
        <v>5.15</v>
      </c>
      <c r="M22" t="s">
        <v>15</v>
      </c>
      <c r="N22" t="s">
        <v>19</v>
      </c>
      <c r="O22">
        <v>10</v>
      </c>
      <c r="P22" s="10">
        <f>AVERAGE(D11:D13)</f>
        <v>4.3500000000000005</v>
      </c>
      <c r="Q22" t="s">
        <v>14</v>
      </c>
      <c r="R22" t="s">
        <v>19</v>
      </c>
      <c r="S22">
        <v>10</v>
      </c>
      <c r="T22" s="10">
        <f>AVERAGE(D23:D25)</f>
        <v>4.5599999999999996</v>
      </c>
      <c r="U22" t="s">
        <v>9</v>
      </c>
      <c r="V22" t="s">
        <v>19</v>
      </c>
      <c r="W22">
        <v>10</v>
      </c>
      <c r="X22" s="10">
        <f>AVERAGE(D35:D37)</f>
        <v>4.66</v>
      </c>
      <c r="BA22">
        <v>5.1433333333333335</v>
      </c>
    </row>
    <row r="23" spans="1:61" ht="15.75" x14ac:dyDescent="0.25">
      <c r="A23" s="8" t="s">
        <v>14</v>
      </c>
      <c r="B23" s="7" t="s">
        <v>13</v>
      </c>
      <c r="C23" s="3">
        <v>4.99</v>
      </c>
      <c r="D23" s="3">
        <v>4.91</v>
      </c>
      <c r="E23" s="3">
        <v>4.92</v>
      </c>
      <c r="F23" s="3">
        <v>4.8</v>
      </c>
      <c r="G23" s="3">
        <v>4.83</v>
      </c>
      <c r="H23" s="3">
        <v>4.8499999999999996</v>
      </c>
      <c r="I23" s="3">
        <v>4.83</v>
      </c>
      <c r="J23" s="3">
        <v>4.8899999999999997</v>
      </c>
      <c r="M23" t="s">
        <v>15</v>
      </c>
      <c r="N23" t="s">
        <v>19</v>
      </c>
      <c r="O23">
        <v>15</v>
      </c>
      <c r="P23" s="10">
        <f>AVERAGE(E11:E13)</f>
        <v>4.626666666666666</v>
      </c>
      <c r="Q23" t="s">
        <v>14</v>
      </c>
      <c r="R23" t="s">
        <v>19</v>
      </c>
      <c r="S23">
        <v>15</v>
      </c>
      <c r="T23" s="10">
        <f>AVERAGE(E23:E25)</f>
        <v>4.6000000000000005</v>
      </c>
      <c r="U23" t="s">
        <v>9</v>
      </c>
      <c r="V23" t="s">
        <v>19</v>
      </c>
      <c r="W23">
        <v>15</v>
      </c>
      <c r="X23" s="10">
        <f>AVERAGE(E35:E37)</f>
        <v>4.706666666666667</v>
      </c>
      <c r="BA23">
        <v>5.1700000000000008</v>
      </c>
    </row>
    <row r="24" spans="1:61" ht="15.75" x14ac:dyDescent="0.25">
      <c r="A24" s="8" t="s">
        <v>14</v>
      </c>
      <c r="B24" s="7" t="s">
        <v>13</v>
      </c>
      <c r="C24" s="3">
        <v>4.63</v>
      </c>
      <c r="D24" s="3">
        <v>4.63</v>
      </c>
      <c r="E24" s="3">
        <v>4.41</v>
      </c>
      <c r="F24" s="3">
        <v>5.04</v>
      </c>
      <c r="G24" s="3">
        <v>5.04</v>
      </c>
      <c r="H24" s="3">
        <v>4.43</v>
      </c>
      <c r="I24" s="3">
        <v>4.3</v>
      </c>
      <c r="J24" s="3">
        <v>4.22</v>
      </c>
      <c r="M24" t="s">
        <v>15</v>
      </c>
      <c r="N24" t="s">
        <v>19</v>
      </c>
      <c r="O24">
        <v>20</v>
      </c>
      <c r="P24" s="10">
        <f>AVERAGE(F11:F13)</f>
        <v>4.63</v>
      </c>
      <c r="Q24" t="s">
        <v>14</v>
      </c>
      <c r="R24" t="s">
        <v>19</v>
      </c>
      <c r="S24">
        <v>20</v>
      </c>
      <c r="T24" s="10">
        <f>AVERAGE(F23:F25)</f>
        <v>4.7433333333333332</v>
      </c>
      <c r="U24" t="s">
        <v>9</v>
      </c>
      <c r="V24" t="s">
        <v>19</v>
      </c>
      <c r="W24">
        <v>20</v>
      </c>
      <c r="X24" s="10">
        <f>AVERAGE(F35:F37)</f>
        <v>4.75</v>
      </c>
      <c r="BA24">
        <v>5.2433333333333332</v>
      </c>
    </row>
    <row r="25" spans="1:61" ht="15.75" x14ac:dyDescent="0.25">
      <c r="A25" s="8" t="s">
        <v>14</v>
      </c>
      <c r="B25" s="7" t="s">
        <v>13</v>
      </c>
      <c r="C25" s="3">
        <v>2.8</v>
      </c>
      <c r="D25" s="3">
        <v>4.1399999999999997</v>
      </c>
      <c r="E25" s="3">
        <v>4.47</v>
      </c>
      <c r="F25" s="3">
        <v>4.3899999999999997</v>
      </c>
      <c r="G25" s="3">
        <v>4.3899999999999997</v>
      </c>
      <c r="H25" s="3">
        <v>4.55</v>
      </c>
      <c r="I25" s="3">
        <v>4.8</v>
      </c>
      <c r="J25" s="3">
        <v>4.95</v>
      </c>
      <c r="M25" t="s">
        <v>15</v>
      </c>
      <c r="N25" t="s">
        <v>19</v>
      </c>
      <c r="O25">
        <v>25</v>
      </c>
      <c r="P25" s="10">
        <f>AVERAGE(G11:G13)</f>
        <v>4.666666666666667</v>
      </c>
      <c r="Q25" t="s">
        <v>14</v>
      </c>
      <c r="R25" t="s">
        <v>19</v>
      </c>
      <c r="S25">
        <v>25</v>
      </c>
      <c r="T25" s="10">
        <f>AVERAGE(G23:G25)</f>
        <v>4.7533333333333339</v>
      </c>
      <c r="U25" t="s">
        <v>9</v>
      </c>
      <c r="V25" t="s">
        <v>19</v>
      </c>
      <c r="W25">
        <v>25</v>
      </c>
      <c r="X25" s="10">
        <f>AVERAGE(G35:G37)</f>
        <v>5.0733333333333333</v>
      </c>
    </row>
    <row r="26" spans="1:61" ht="15.75" x14ac:dyDescent="0.25">
      <c r="A26" s="8" t="s">
        <v>15</v>
      </c>
      <c r="B26" s="7" t="s">
        <v>10</v>
      </c>
      <c r="C26" s="3">
        <v>4.49</v>
      </c>
      <c r="D26" s="3">
        <v>4.58</v>
      </c>
      <c r="E26" s="3">
        <v>4.45</v>
      </c>
      <c r="F26" s="3">
        <v>4.47</v>
      </c>
      <c r="G26" s="3">
        <v>4.47</v>
      </c>
      <c r="H26" s="3">
        <v>4.4400000000000004</v>
      </c>
      <c r="I26" s="3">
        <v>4.5</v>
      </c>
      <c r="J26" s="3">
        <v>4.59</v>
      </c>
      <c r="M26" t="s">
        <v>15</v>
      </c>
      <c r="N26" t="s">
        <v>19</v>
      </c>
      <c r="O26">
        <v>30</v>
      </c>
      <c r="P26" s="10">
        <f>AVERAGE(H11:H13)</f>
        <v>4.6733333333333329</v>
      </c>
      <c r="Q26" t="s">
        <v>14</v>
      </c>
      <c r="R26" t="s">
        <v>19</v>
      </c>
      <c r="S26">
        <v>30</v>
      </c>
      <c r="T26" s="10">
        <f>AVERAGE(H23:H25)</f>
        <v>4.6099999999999994</v>
      </c>
      <c r="U26" t="s">
        <v>9</v>
      </c>
      <c r="V26" t="s">
        <v>19</v>
      </c>
      <c r="W26">
        <v>30</v>
      </c>
      <c r="X26" s="10">
        <f>AVERAGE(H35:H37)</f>
        <v>4.72</v>
      </c>
    </row>
    <row r="27" spans="1:61" ht="15.75" x14ac:dyDescent="0.25">
      <c r="A27" s="8" t="s">
        <v>15</v>
      </c>
      <c r="B27" s="7" t="s">
        <v>10</v>
      </c>
      <c r="C27" s="3">
        <v>4.59</v>
      </c>
      <c r="D27" s="3">
        <v>4.9000000000000004</v>
      </c>
      <c r="E27" s="3">
        <v>4.5599999999999996</v>
      </c>
      <c r="F27" s="3">
        <v>4.45</v>
      </c>
      <c r="G27" s="3">
        <v>4.49</v>
      </c>
      <c r="H27" s="3">
        <v>4.8899999999999997</v>
      </c>
      <c r="I27" s="3">
        <v>4.8600000000000003</v>
      </c>
      <c r="J27" s="3">
        <v>4.9800000000000004</v>
      </c>
      <c r="M27" t="s">
        <v>15</v>
      </c>
      <c r="N27" t="s">
        <v>19</v>
      </c>
      <c r="O27">
        <v>35</v>
      </c>
      <c r="P27" s="10">
        <f>AVERAGE(I11:I13)</f>
        <v>4.706666666666667</v>
      </c>
      <c r="Q27" t="s">
        <v>14</v>
      </c>
      <c r="R27" t="s">
        <v>19</v>
      </c>
      <c r="S27">
        <v>35</v>
      </c>
      <c r="T27" s="10">
        <f>AVERAGE(I23:I25)</f>
        <v>4.6433333333333335</v>
      </c>
      <c r="U27" t="s">
        <v>9</v>
      </c>
      <c r="V27" t="s">
        <v>19</v>
      </c>
      <c r="W27">
        <v>35</v>
      </c>
      <c r="X27" s="10">
        <f>AVERAGE(I35:I37)</f>
        <v>4.7633333333333345</v>
      </c>
    </row>
    <row r="28" spans="1:61" ht="15.75" x14ac:dyDescent="0.25">
      <c r="A28" s="8" t="s">
        <v>15</v>
      </c>
      <c r="B28" s="7" t="s">
        <v>10</v>
      </c>
      <c r="C28" s="3">
        <v>4.62</v>
      </c>
      <c r="D28" s="3">
        <v>4.91</v>
      </c>
      <c r="E28" s="3">
        <v>4.92</v>
      </c>
      <c r="F28" s="3">
        <v>4.74</v>
      </c>
      <c r="G28" s="3">
        <v>4.59</v>
      </c>
      <c r="H28" s="3">
        <v>4.4800000000000004</v>
      </c>
      <c r="I28" s="3">
        <v>4.43</v>
      </c>
      <c r="J28" s="3">
        <v>4.3499999999999996</v>
      </c>
      <c r="M28" t="s">
        <v>15</v>
      </c>
      <c r="N28" t="s">
        <v>19</v>
      </c>
      <c r="O28">
        <v>40</v>
      </c>
      <c r="P28" s="10">
        <f>AVERAGE(J11:J13)</f>
        <v>4.75</v>
      </c>
      <c r="Q28" t="s">
        <v>14</v>
      </c>
      <c r="R28" t="s">
        <v>19</v>
      </c>
      <c r="S28">
        <v>40</v>
      </c>
      <c r="T28" s="10">
        <f>AVERAGE(J23:J25)</f>
        <v>4.6866666666666665</v>
      </c>
      <c r="U28" t="s">
        <v>9</v>
      </c>
      <c r="V28" t="s">
        <v>19</v>
      </c>
      <c r="W28">
        <v>40</v>
      </c>
      <c r="X28" s="10">
        <f>AVERAGE(J35:J37)</f>
        <v>4.753333333333333</v>
      </c>
    </row>
    <row r="29" spans="1:61" ht="15.75" x14ac:dyDescent="0.25">
      <c r="A29" s="8" t="s">
        <v>15</v>
      </c>
      <c r="B29" s="7" t="s">
        <v>11</v>
      </c>
      <c r="C29" s="3">
        <v>4.91</v>
      </c>
      <c r="D29" s="3">
        <v>4.8</v>
      </c>
      <c r="E29" s="3">
        <v>4.75</v>
      </c>
      <c r="F29" s="3">
        <v>4.5599999999999996</v>
      </c>
      <c r="G29" s="3">
        <v>4.46</v>
      </c>
      <c r="H29" s="3">
        <v>4.3</v>
      </c>
      <c r="I29" s="3">
        <v>4.18</v>
      </c>
      <c r="J29" s="3">
        <v>4.17</v>
      </c>
      <c r="M29" t="s">
        <v>15</v>
      </c>
      <c r="N29" t="s">
        <v>20</v>
      </c>
      <c r="O29">
        <v>5</v>
      </c>
      <c r="P29" s="10">
        <f>AVERAGE(C5:C7)</f>
        <v>5.6633333333333331</v>
      </c>
      <c r="Q29" t="s">
        <v>14</v>
      </c>
      <c r="R29" t="s">
        <v>20</v>
      </c>
      <c r="S29">
        <v>5</v>
      </c>
      <c r="T29" s="10">
        <f>AVERAGE(C17:C19)</f>
        <v>4.8966666666666674</v>
      </c>
      <c r="U29" t="s">
        <v>9</v>
      </c>
      <c r="V29" t="s">
        <v>20</v>
      </c>
      <c r="W29">
        <v>5</v>
      </c>
      <c r="X29" s="10">
        <f>AVERAGE(C29:C31)</f>
        <v>4.6100000000000003</v>
      </c>
    </row>
    <row r="30" spans="1:61" ht="15.75" x14ac:dyDescent="0.25">
      <c r="A30" s="8" t="s">
        <v>15</v>
      </c>
      <c r="B30" s="7" t="s">
        <v>11</v>
      </c>
      <c r="C30" s="3">
        <v>4.43</v>
      </c>
      <c r="D30" s="3">
        <v>4.51</v>
      </c>
      <c r="E30" s="3">
        <v>4.63</v>
      </c>
      <c r="F30" s="3">
        <v>4.76</v>
      </c>
      <c r="G30" s="3">
        <v>4.76</v>
      </c>
      <c r="H30" s="3">
        <v>4.78</v>
      </c>
      <c r="I30" s="3">
        <v>4.8499999999999996</v>
      </c>
      <c r="J30" s="3">
        <v>4.88</v>
      </c>
      <c r="M30" t="s">
        <v>15</v>
      </c>
      <c r="N30" t="s">
        <v>20</v>
      </c>
      <c r="O30">
        <v>10</v>
      </c>
      <c r="P30" s="10">
        <f>AVERAGE(D5:D7)</f>
        <v>5.0266666666666673</v>
      </c>
      <c r="Q30" t="s">
        <v>14</v>
      </c>
      <c r="R30" t="s">
        <v>20</v>
      </c>
      <c r="S30">
        <v>10</v>
      </c>
      <c r="T30" s="10">
        <f>AVERAGE(D17:D19)</f>
        <v>5.169999999999999</v>
      </c>
      <c r="U30" t="s">
        <v>9</v>
      </c>
      <c r="V30" t="s">
        <v>20</v>
      </c>
      <c r="W30">
        <v>10</v>
      </c>
      <c r="X30" s="10">
        <f>AVERAGE(D29:D31)</f>
        <v>4.626666666666666</v>
      </c>
    </row>
    <row r="31" spans="1:61" ht="15.75" x14ac:dyDescent="0.25">
      <c r="A31" s="8" t="s">
        <v>15</v>
      </c>
      <c r="B31" s="7" t="s">
        <v>11</v>
      </c>
      <c r="C31" s="3">
        <v>4.49</v>
      </c>
      <c r="D31" s="3">
        <v>4.57</v>
      </c>
      <c r="E31" s="3">
        <v>4.62</v>
      </c>
      <c r="F31" s="3">
        <v>4.62</v>
      </c>
      <c r="G31" s="3">
        <v>4.74</v>
      </c>
      <c r="H31" s="3">
        <v>4.83</v>
      </c>
      <c r="I31" s="3">
        <v>5.04</v>
      </c>
      <c r="J31" s="3">
        <v>5.21</v>
      </c>
      <c r="M31" t="s">
        <v>15</v>
      </c>
      <c r="N31" t="s">
        <v>20</v>
      </c>
      <c r="O31">
        <v>15</v>
      </c>
      <c r="P31" s="10">
        <f>AVERAGE(E5:E7)</f>
        <v>5.12</v>
      </c>
      <c r="Q31" t="s">
        <v>14</v>
      </c>
      <c r="R31" t="s">
        <v>20</v>
      </c>
      <c r="S31">
        <v>15</v>
      </c>
      <c r="T31" s="10">
        <f>AVERAGE(E17:E19)</f>
        <v>5.1333333333333329</v>
      </c>
      <c r="U31" t="s">
        <v>9</v>
      </c>
      <c r="V31" t="s">
        <v>20</v>
      </c>
      <c r="W31">
        <v>15</v>
      </c>
      <c r="X31" s="10">
        <f>AVERAGE(E29:E31)</f>
        <v>4.666666666666667</v>
      </c>
    </row>
    <row r="32" spans="1:61" ht="15.75" x14ac:dyDescent="0.25">
      <c r="A32" s="8" t="s">
        <v>15</v>
      </c>
      <c r="B32" s="7" t="s">
        <v>12</v>
      </c>
      <c r="C32" s="3">
        <v>4.71</v>
      </c>
      <c r="D32" s="3">
        <v>4.6500000000000004</v>
      </c>
      <c r="E32" s="3">
        <v>4.6500000000000004</v>
      </c>
      <c r="F32" s="3">
        <v>5.07</v>
      </c>
      <c r="G32" s="3">
        <v>4.74</v>
      </c>
      <c r="H32" s="3">
        <v>4.54</v>
      </c>
      <c r="I32" s="3">
        <v>4.46</v>
      </c>
      <c r="J32" s="3">
        <v>4.49</v>
      </c>
      <c r="M32" t="s">
        <v>15</v>
      </c>
      <c r="N32" t="s">
        <v>20</v>
      </c>
      <c r="O32">
        <v>20</v>
      </c>
      <c r="P32" s="10">
        <f>AVERAGE(F5:F7)</f>
        <v>5.19</v>
      </c>
      <c r="Q32" t="s">
        <v>14</v>
      </c>
      <c r="R32" t="s">
        <v>20</v>
      </c>
      <c r="S32">
        <v>20</v>
      </c>
      <c r="T32" s="10">
        <f>AVERAGE(F17:F19)</f>
        <v>5.0733333333333333</v>
      </c>
      <c r="U32" t="s">
        <v>9</v>
      </c>
      <c r="V32" t="s">
        <v>20</v>
      </c>
      <c r="W32">
        <v>20</v>
      </c>
      <c r="X32" s="10">
        <f>AVERAGE(F29:F31)</f>
        <v>4.6466666666666674</v>
      </c>
    </row>
    <row r="33" spans="1:24" ht="15.75" x14ac:dyDescent="0.25">
      <c r="A33" s="8" t="s">
        <v>15</v>
      </c>
      <c r="B33" s="7" t="s">
        <v>12</v>
      </c>
      <c r="C33" s="3">
        <v>4.57</v>
      </c>
      <c r="D33" s="3">
        <v>5.13</v>
      </c>
      <c r="E33" s="3">
        <v>5.31</v>
      </c>
      <c r="F33" s="3">
        <v>5.26</v>
      </c>
      <c r="G33" s="3">
        <v>5.22</v>
      </c>
      <c r="H33" s="3">
        <v>4.8499999999999996</v>
      </c>
      <c r="I33" s="3">
        <v>4.66</v>
      </c>
      <c r="J33" s="3">
        <v>4.47</v>
      </c>
      <c r="M33" t="s">
        <v>15</v>
      </c>
      <c r="N33" t="s">
        <v>20</v>
      </c>
      <c r="O33">
        <v>25</v>
      </c>
      <c r="P33" s="10">
        <f>AVERAGE(G5:G7)</f>
        <v>5.16</v>
      </c>
      <c r="Q33" t="s">
        <v>14</v>
      </c>
      <c r="R33" t="s">
        <v>20</v>
      </c>
      <c r="S33">
        <v>25</v>
      </c>
      <c r="T33" s="10">
        <f>AVERAGE(G17:G19)</f>
        <v>5.1166666666666663</v>
      </c>
      <c r="U33" t="s">
        <v>9</v>
      </c>
      <c r="V33" t="s">
        <v>20</v>
      </c>
      <c r="W33">
        <v>25</v>
      </c>
      <c r="X33" s="10">
        <f>AVERAGE(G29:G31)</f>
        <v>4.6533333333333333</v>
      </c>
    </row>
    <row r="34" spans="1:24" ht="15.75" x14ac:dyDescent="0.25">
      <c r="A34" s="8" t="s">
        <v>15</v>
      </c>
      <c r="B34" s="7" t="s">
        <v>12</v>
      </c>
      <c r="C34" s="3">
        <v>4.5</v>
      </c>
      <c r="D34" s="3">
        <v>4.4400000000000004</v>
      </c>
      <c r="E34" s="3">
        <v>4.55</v>
      </c>
      <c r="F34" s="3">
        <v>4.6500000000000004</v>
      </c>
      <c r="G34" s="3">
        <v>4.8499999999999996</v>
      </c>
      <c r="H34" s="3">
        <v>5.0999999999999996</v>
      </c>
      <c r="I34" s="3">
        <v>5.31</v>
      </c>
      <c r="J34" s="3">
        <v>5.4</v>
      </c>
      <c r="M34" t="s">
        <v>15</v>
      </c>
      <c r="N34" t="s">
        <v>20</v>
      </c>
      <c r="O34">
        <v>30</v>
      </c>
      <c r="P34" s="10">
        <f>AVERAGE(H5:H7)</f>
        <v>5.1433333333333335</v>
      </c>
      <c r="Q34" t="s">
        <v>14</v>
      </c>
      <c r="R34" t="s">
        <v>20</v>
      </c>
      <c r="S34">
        <v>30</v>
      </c>
      <c r="T34" s="10">
        <f>AVERAGE(H17:H19)</f>
        <v>5.1233333333333331</v>
      </c>
      <c r="U34" t="s">
        <v>9</v>
      </c>
      <c r="V34" t="s">
        <v>20</v>
      </c>
      <c r="W34">
        <v>30</v>
      </c>
      <c r="X34" s="10">
        <f>AVERAGE(H29:H31)</f>
        <v>4.6366666666666667</v>
      </c>
    </row>
    <row r="35" spans="1:24" ht="15.75" x14ac:dyDescent="0.25">
      <c r="A35" s="8" t="s">
        <v>15</v>
      </c>
      <c r="B35" s="7" t="s">
        <v>13</v>
      </c>
      <c r="C35" s="3">
        <v>4.54</v>
      </c>
      <c r="D35" s="3">
        <v>4.55</v>
      </c>
      <c r="E35" s="3">
        <v>4.57</v>
      </c>
      <c r="F35" s="3">
        <v>4.7699999999999996</v>
      </c>
      <c r="G35" s="3">
        <v>5.92</v>
      </c>
      <c r="H35" s="3">
        <v>5.05</v>
      </c>
      <c r="I35" s="3">
        <v>5.28</v>
      </c>
      <c r="J35" s="3">
        <v>5.34</v>
      </c>
      <c r="M35" t="s">
        <v>15</v>
      </c>
      <c r="N35" t="s">
        <v>20</v>
      </c>
      <c r="O35">
        <v>35</v>
      </c>
      <c r="P35" s="10">
        <f>AVERAGE(I5:I7)</f>
        <v>5.1700000000000008</v>
      </c>
      <c r="Q35" t="s">
        <v>14</v>
      </c>
      <c r="R35" t="s">
        <v>20</v>
      </c>
      <c r="S35">
        <v>35</v>
      </c>
      <c r="T35" s="10">
        <f>AVERAGE(I17:I19)</f>
        <v>5.2366666666666672</v>
      </c>
      <c r="U35" t="s">
        <v>9</v>
      </c>
      <c r="V35" t="s">
        <v>20</v>
      </c>
      <c r="W35">
        <v>35</v>
      </c>
      <c r="X35" s="10">
        <f>AVERAGE(I29:I31)</f>
        <v>4.6900000000000004</v>
      </c>
    </row>
    <row r="36" spans="1:24" ht="15.75" x14ac:dyDescent="0.25">
      <c r="A36" s="8" t="s">
        <v>15</v>
      </c>
      <c r="B36" s="7" t="s">
        <v>13</v>
      </c>
      <c r="C36" s="3">
        <v>4.58</v>
      </c>
      <c r="D36" s="3">
        <v>4.74</v>
      </c>
      <c r="E36" s="3">
        <v>5.05</v>
      </c>
      <c r="F36" s="3">
        <v>5.03</v>
      </c>
      <c r="G36" s="3">
        <v>4.84</v>
      </c>
      <c r="H36" s="3">
        <v>4.67</v>
      </c>
      <c r="I36" s="3">
        <v>4.57</v>
      </c>
      <c r="J36" s="3">
        <v>4.5199999999999996</v>
      </c>
      <c r="M36" t="s">
        <v>15</v>
      </c>
      <c r="N36" t="s">
        <v>20</v>
      </c>
      <c r="O36">
        <v>40</v>
      </c>
      <c r="P36" s="10">
        <f>AVERAGE(J5:J7)</f>
        <v>5.2433333333333332</v>
      </c>
      <c r="Q36" t="s">
        <v>14</v>
      </c>
      <c r="R36" t="s">
        <v>20</v>
      </c>
      <c r="S36">
        <v>40</v>
      </c>
      <c r="T36" s="10">
        <f>AVERAGE(J17:J19)</f>
        <v>5.3</v>
      </c>
      <c r="U36" t="s">
        <v>9</v>
      </c>
      <c r="V36" t="s">
        <v>20</v>
      </c>
      <c r="W36">
        <v>40</v>
      </c>
      <c r="X36" s="10">
        <f>AVERAGE(J29:J31)</f>
        <v>4.7533333333333339</v>
      </c>
    </row>
    <row r="37" spans="1:24" ht="15.75" x14ac:dyDescent="0.25">
      <c r="A37" s="8" t="s">
        <v>15</v>
      </c>
      <c r="B37" s="7" t="s">
        <v>13</v>
      </c>
      <c r="C37" s="3">
        <v>4.6500000000000004</v>
      </c>
      <c r="D37" s="3">
        <v>4.6900000000000004</v>
      </c>
      <c r="E37" s="3">
        <v>4.5</v>
      </c>
      <c r="F37" s="3">
        <v>4.45</v>
      </c>
      <c r="G37" s="3">
        <v>4.46</v>
      </c>
      <c r="H37" s="3">
        <v>4.4400000000000004</v>
      </c>
      <c r="I37" s="3">
        <v>4.4400000000000004</v>
      </c>
      <c r="J37" s="3">
        <v>4.4000000000000004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4B2C-2E36-4D76-944B-1EFB9FDBB7E0}">
  <dimension ref="A1:X63"/>
  <sheetViews>
    <sheetView zoomScale="70" zoomScaleNormal="70" workbookViewId="0">
      <selection activeCell="O29" sqref="O29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3.28515625" bestFit="1" customWidth="1"/>
    <col min="15" max="15" width="14.28515625" bestFit="1" customWidth="1"/>
    <col min="23" max="23" width="10.7109375" customWidth="1"/>
  </cols>
  <sheetData>
    <row r="1" spans="1:24" ht="30" x14ac:dyDescent="0.25">
      <c r="A1" s="11" t="s">
        <v>27</v>
      </c>
      <c r="B1" s="11" t="s">
        <v>28</v>
      </c>
      <c r="C1" s="11" t="s">
        <v>29</v>
      </c>
      <c r="D1" s="12" t="s">
        <v>31</v>
      </c>
      <c r="E1" s="12" t="s">
        <v>2</v>
      </c>
      <c r="F1" s="12" t="s">
        <v>3</v>
      </c>
      <c r="G1" s="13" t="s">
        <v>4</v>
      </c>
      <c r="H1" s="12" t="s">
        <v>5</v>
      </c>
      <c r="I1" s="12" t="s">
        <v>32</v>
      </c>
      <c r="J1" s="12" t="s">
        <v>7</v>
      </c>
      <c r="K1" s="12" t="s">
        <v>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>
        <v>1</v>
      </c>
      <c r="B2" t="s">
        <v>35</v>
      </c>
      <c r="C2" t="s">
        <v>10</v>
      </c>
      <c r="D2" s="12">
        <v>1.46</v>
      </c>
      <c r="E2" s="12">
        <v>1.52</v>
      </c>
      <c r="F2" s="12">
        <v>0.86</v>
      </c>
      <c r="G2" s="13">
        <v>0.55000000000000004</v>
      </c>
      <c r="H2" s="12">
        <v>0.9</v>
      </c>
      <c r="I2" s="12">
        <v>0.92</v>
      </c>
      <c r="J2" s="12">
        <v>0.84</v>
      </c>
      <c r="K2" s="12">
        <v>0.84</v>
      </c>
    </row>
    <row r="3" spans="1:24" x14ac:dyDescent="0.25">
      <c r="A3">
        <v>1</v>
      </c>
      <c r="B3" t="s">
        <v>35</v>
      </c>
      <c r="C3" t="s">
        <v>10</v>
      </c>
      <c r="D3" s="12">
        <v>1.52</v>
      </c>
      <c r="E3" s="12">
        <v>1.42</v>
      </c>
      <c r="F3" s="12">
        <v>1.28</v>
      </c>
      <c r="G3" s="13">
        <v>1.04</v>
      </c>
      <c r="H3" s="12">
        <v>0.82</v>
      </c>
      <c r="I3" s="12">
        <v>0.75</v>
      </c>
      <c r="J3" s="12">
        <v>0.65</v>
      </c>
      <c r="K3" s="12">
        <v>0.78</v>
      </c>
    </row>
    <row r="4" spans="1:24" x14ac:dyDescent="0.25">
      <c r="A4">
        <v>1</v>
      </c>
      <c r="B4" t="s">
        <v>35</v>
      </c>
      <c r="C4" t="s">
        <v>10</v>
      </c>
      <c r="D4" s="12">
        <v>1.22</v>
      </c>
      <c r="E4" s="12">
        <v>1.28</v>
      </c>
      <c r="F4" s="12">
        <v>0.98</v>
      </c>
      <c r="G4" s="12">
        <v>0.6</v>
      </c>
      <c r="H4" s="12">
        <v>0.72</v>
      </c>
      <c r="I4" s="13">
        <v>0.44</v>
      </c>
      <c r="J4" s="12">
        <v>0.62</v>
      </c>
      <c r="K4" s="12">
        <v>0.54</v>
      </c>
      <c r="M4" t="s">
        <v>22</v>
      </c>
      <c r="N4" t="s">
        <v>16</v>
      </c>
      <c r="O4" t="s">
        <v>21</v>
      </c>
      <c r="P4" t="s">
        <v>36</v>
      </c>
      <c r="Q4" t="s">
        <v>22</v>
      </c>
      <c r="R4" t="s">
        <v>16</v>
      </c>
      <c r="S4" t="s">
        <v>21</v>
      </c>
      <c r="T4" t="s">
        <v>36</v>
      </c>
      <c r="U4" t="s">
        <v>22</v>
      </c>
      <c r="V4" t="s">
        <v>16</v>
      </c>
      <c r="W4" t="s">
        <v>21</v>
      </c>
      <c r="X4" t="s">
        <v>36</v>
      </c>
    </row>
    <row r="5" spans="1:24" x14ac:dyDescent="0.25">
      <c r="A5">
        <v>9</v>
      </c>
      <c r="B5" t="s">
        <v>35</v>
      </c>
      <c r="C5" t="s">
        <v>33</v>
      </c>
      <c r="D5" s="12">
        <v>1.24</v>
      </c>
      <c r="E5" s="12">
        <v>1.1599999999999999</v>
      </c>
      <c r="F5" s="12">
        <v>1.3</v>
      </c>
      <c r="G5" s="13">
        <v>0.84</v>
      </c>
      <c r="H5" s="12">
        <v>0.78</v>
      </c>
      <c r="I5" s="12">
        <v>0.64</v>
      </c>
      <c r="J5" s="12">
        <v>0.48</v>
      </c>
      <c r="K5" s="12">
        <v>0.3</v>
      </c>
      <c r="M5" t="s">
        <v>15</v>
      </c>
      <c r="N5" t="s">
        <v>17</v>
      </c>
      <c r="O5">
        <v>5</v>
      </c>
      <c r="P5" s="10">
        <f>AVERAGE(D2:D4)</f>
        <v>1.4000000000000001</v>
      </c>
      <c r="Q5" t="s">
        <v>14</v>
      </c>
      <c r="R5" t="s">
        <v>17</v>
      </c>
      <c r="S5">
        <v>5</v>
      </c>
      <c r="T5" s="10">
        <f>AVERAGE(D14:D16)</f>
        <v>1.3533333333333333</v>
      </c>
      <c r="U5" t="s">
        <v>9</v>
      </c>
      <c r="V5" t="s">
        <v>17</v>
      </c>
      <c r="W5">
        <v>5</v>
      </c>
      <c r="X5" s="10">
        <f>AVERAGE(D26:D28)</f>
        <v>0.87</v>
      </c>
    </row>
    <row r="6" spans="1:24" x14ac:dyDescent="0.25">
      <c r="A6">
        <v>9</v>
      </c>
      <c r="B6" t="s">
        <v>35</v>
      </c>
      <c r="C6" t="s">
        <v>33</v>
      </c>
      <c r="D6" s="12">
        <v>1.32</v>
      </c>
      <c r="E6" s="12">
        <v>1.18</v>
      </c>
      <c r="F6" s="12">
        <v>1.1000000000000001</v>
      </c>
      <c r="G6" s="13">
        <v>1.04</v>
      </c>
      <c r="H6" s="12">
        <v>1.02</v>
      </c>
      <c r="I6" s="12">
        <v>0.5</v>
      </c>
      <c r="J6" s="12">
        <v>0.56000000000000005</v>
      </c>
      <c r="K6" s="12">
        <v>0.48</v>
      </c>
      <c r="M6" t="s">
        <v>15</v>
      </c>
      <c r="N6" t="s">
        <v>17</v>
      </c>
      <c r="O6">
        <v>10</v>
      </c>
      <c r="P6" s="10">
        <f>AVERAGE(E2:E4)</f>
        <v>1.4066666666666665</v>
      </c>
      <c r="Q6" t="s">
        <v>14</v>
      </c>
      <c r="R6" t="s">
        <v>17</v>
      </c>
      <c r="S6">
        <v>10</v>
      </c>
      <c r="T6" s="10">
        <f>AVERAGE(E14:E16)</f>
        <v>0.96666666666666667</v>
      </c>
      <c r="U6" t="s">
        <v>9</v>
      </c>
      <c r="V6" t="s">
        <v>17</v>
      </c>
      <c r="W6">
        <v>10</v>
      </c>
      <c r="X6" s="10">
        <f>AVERAGE(E26:E28)</f>
        <v>0.61333333333333329</v>
      </c>
    </row>
    <row r="7" spans="1:24" x14ac:dyDescent="0.25">
      <c r="A7">
        <v>9</v>
      </c>
      <c r="B7" t="s">
        <v>35</v>
      </c>
      <c r="C7" t="s">
        <v>33</v>
      </c>
      <c r="D7" s="12">
        <v>1.64</v>
      </c>
      <c r="E7" s="12">
        <v>1.72</v>
      </c>
      <c r="F7" s="12">
        <v>1.6</v>
      </c>
      <c r="G7" s="12">
        <v>1.1200000000000001</v>
      </c>
      <c r="H7" s="12">
        <v>0.75</v>
      </c>
      <c r="I7" s="13">
        <v>0.88</v>
      </c>
      <c r="J7" s="12">
        <v>0.73</v>
      </c>
      <c r="K7" s="12">
        <v>0.73</v>
      </c>
      <c r="M7" t="s">
        <v>15</v>
      </c>
      <c r="N7" t="s">
        <v>17</v>
      </c>
      <c r="O7">
        <v>15</v>
      </c>
      <c r="P7" s="10">
        <f>AVERAGE(F2:F4)</f>
        <v>1.04</v>
      </c>
      <c r="Q7" t="s">
        <v>14</v>
      </c>
      <c r="R7" t="s">
        <v>17</v>
      </c>
      <c r="S7">
        <v>15</v>
      </c>
      <c r="T7" s="10">
        <f>AVERAGE(F14:F16)</f>
        <v>0.44333333333333336</v>
      </c>
      <c r="U7" t="s">
        <v>9</v>
      </c>
      <c r="V7" t="s">
        <v>17</v>
      </c>
      <c r="W7">
        <v>15</v>
      </c>
      <c r="X7" s="10">
        <f>AVERAGE(F26:F28)</f>
        <v>0.58333333333333337</v>
      </c>
    </row>
    <row r="8" spans="1:24" x14ac:dyDescent="0.25">
      <c r="A8">
        <v>17</v>
      </c>
      <c r="B8" t="s">
        <v>35</v>
      </c>
      <c r="C8" t="s">
        <v>11</v>
      </c>
      <c r="D8" s="12">
        <v>1</v>
      </c>
      <c r="E8" s="12">
        <v>1.1200000000000001</v>
      </c>
      <c r="F8" s="12">
        <v>0.84</v>
      </c>
      <c r="G8" s="13">
        <v>1.04</v>
      </c>
      <c r="H8" s="12">
        <v>0.46</v>
      </c>
      <c r="I8" s="12">
        <v>0.52</v>
      </c>
      <c r="J8" s="12">
        <v>0.48</v>
      </c>
      <c r="K8" s="12">
        <v>0.24</v>
      </c>
      <c r="M8" t="s">
        <v>15</v>
      </c>
      <c r="N8" t="s">
        <v>17</v>
      </c>
      <c r="O8">
        <v>20</v>
      </c>
      <c r="P8" s="10">
        <f>AVERAGE(G2:G4)</f>
        <v>0.73</v>
      </c>
      <c r="Q8" t="s">
        <v>14</v>
      </c>
      <c r="R8" t="s">
        <v>17</v>
      </c>
      <c r="S8">
        <v>20</v>
      </c>
      <c r="T8" s="10">
        <f>AVERAGE(G14:G16)</f>
        <v>0.39666666666666667</v>
      </c>
      <c r="U8" t="s">
        <v>9</v>
      </c>
      <c r="V8" t="s">
        <v>17</v>
      </c>
      <c r="W8">
        <v>20</v>
      </c>
      <c r="X8" s="10">
        <f>AVERAGE(G26:G28)</f>
        <v>0.55333333333333334</v>
      </c>
    </row>
    <row r="9" spans="1:24" x14ac:dyDescent="0.25">
      <c r="A9">
        <v>17</v>
      </c>
      <c r="B9" t="s">
        <v>35</v>
      </c>
      <c r="C9" t="s">
        <v>11</v>
      </c>
      <c r="D9" s="12">
        <v>1.18</v>
      </c>
      <c r="E9" s="12">
        <v>1.18</v>
      </c>
      <c r="F9" s="12">
        <v>1.02</v>
      </c>
      <c r="G9" s="13">
        <v>0.86</v>
      </c>
      <c r="H9" s="12">
        <v>0.75</v>
      </c>
      <c r="I9" s="12">
        <v>0.77</v>
      </c>
      <c r="J9" s="12">
        <v>0.69</v>
      </c>
      <c r="K9" s="12">
        <v>0.73</v>
      </c>
      <c r="M9" t="s">
        <v>15</v>
      </c>
      <c r="N9" t="s">
        <v>17</v>
      </c>
      <c r="O9">
        <v>25</v>
      </c>
      <c r="P9" s="10">
        <f>AVERAGE(H2:H4)</f>
        <v>0.81333333333333335</v>
      </c>
      <c r="Q9" t="s">
        <v>14</v>
      </c>
      <c r="R9" t="s">
        <v>17</v>
      </c>
      <c r="S9">
        <v>25</v>
      </c>
      <c r="T9" s="10">
        <f>AVERAGE(H14:H16)</f>
        <v>0.43</v>
      </c>
      <c r="U9" t="s">
        <v>9</v>
      </c>
      <c r="V9" t="s">
        <v>17</v>
      </c>
      <c r="W9">
        <v>25</v>
      </c>
      <c r="X9" s="10">
        <f>AVERAGE(H26:H28)</f>
        <v>0.48</v>
      </c>
    </row>
    <row r="10" spans="1:24" x14ac:dyDescent="0.25">
      <c r="A10">
        <v>17</v>
      </c>
      <c r="B10" t="s">
        <v>35</v>
      </c>
      <c r="C10" t="s">
        <v>11</v>
      </c>
      <c r="D10" s="12">
        <v>1.2</v>
      </c>
      <c r="E10" s="12">
        <v>1.28</v>
      </c>
      <c r="F10" s="12">
        <v>1.2</v>
      </c>
      <c r="G10" s="12">
        <v>1.04</v>
      </c>
      <c r="H10" s="12">
        <v>0.75</v>
      </c>
      <c r="I10" s="13">
        <v>0.84</v>
      </c>
      <c r="J10" s="12">
        <v>0.73</v>
      </c>
      <c r="K10" s="12">
        <v>0.84</v>
      </c>
      <c r="M10" t="s">
        <v>15</v>
      </c>
      <c r="N10" t="s">
        <v>17</v>
      </c>
      <c r="O10">
        <v>30</v>
      </c>
      <c r="P10" s="10">
        <f>AVERAGE(I2:I4)</f>
        <v>0.70333333333333325</v>
      </c>
      <c r="Q10" t="s">
        <v>14</v>
      </c>
      <c r="R10" t="s">
        <v>17</v>
      </c>
      <c r="S10">
        <v>30</v>
      </c>
      <c r="T10" s="10">
        <f>AVERAGE(I14:I16)</f>
        <v>0.38999999999999996</v>
      </c>
      <c r="U10" t="s">
        <v>9</v>
      </c>
      <c r="V10" t="s">
        <v>17</v>
      </c>
      <c r="W10">
        <v>30</v>
      </c>
      <c r="X10" s="10">
        <f>AVERAGE(I26:I28)</f>
        <v>0.47333333333333333</v>
      </c>
    </row>
    <row r="11" spans="1:24" x14ac:dyDescent="0.25">
      <c r="A11">
        <v>25</v>
      </c>
      <c r="B11" t="s">
        <v>35</v>
      </c>
      <c r="C11" t="s">
        <v>13</v>
      </c>
      <c r="D11" s="12">
        <v>1.18</v>
      </c>
      <c r="E11" s="12">
        <v>1.18</v>
      </c>
      <c r="F11" s="12">
        <v>0.98</v>
      </c>
      <c r="G11" s="13">
        <v>0.78</v>
      </c>
      <c r="H11" s="12">
        <v>0.48</v>
      </c>
      <c r="I11" s="12">
        <v>0.52</v>
      </c>
      <c r="J11" s="12">
        <v>0.48</v>
      </c>
      <c r="K11" s="12">
        <v>0.5</v>
      </c>
      <c r="M11" t="s">
        <v>15</v>
      </c>
      <c r="N11" t="s">
        <v>17</v>
      </c>
      <c r="O11">
        <v>35</v>
      </c>
      <c r="P11" s="10">
        <f>AVERAGE(J2:J4)</f>
        <v>0.70333333333333325</v>
      </c>
      <c r="Q11" t="s">
        <v>14</v>
      </c>
      <c r="R11" t="s">
        <v>17</v>
      </c>
      <c r="S11">
        <v>35</v>
      </c>
      <c r="T11" s="10">
        <f>AVERAGE(J14:J16)</f>
        <v>0.49000000000000005</v>
      </c>
      <c r="U11" t="s">
        <v>9</v>
      </c>
      <c r="V11" t="s">
        <v>17</v>
      </c>
      <c r="W11">
        <v>35</v>
      </c>
      <c r="X11" s="10">
        <f>AVERAGE(J26:J28)</f>
        <v>0.27333333333333337</v>
      </c>
    </row>
    <row r="12" spans="1:24" x14ac:dyDescent="0.25">
      <c r="A12">
        <v>25</v>
      </c>
      <c r="B12" t="s">
        <v>35</v>
      </c>
      <c r="C12" t="s">
        <v>13</v>
      </c>
      <c r="D12" s="12">
        <v>0.96</v>
      </c>
      <c r="E12" s="12">
        <v>1</v>
      </c>
      <c r="F12" s="12">
        <v>0.74</v>
      </c>
      <c r="G12" s="13">
        <v>0.46</v>
      </c>
      <c r="H12" s="12">
        <v>0.46</v>
      </c>
      <c r="I12" s="12">
        <v>0.46</v>
      </c>
      <c r="J12" s="12">
        <v>0.7</v>
      </c>
      <c r="K12" s="12">
        <v>0.44</v>
      </c>
      <c r="M12" t="s">
        <v>15</v>
      </c>
      <c r="N12" t="s">
        <v>17</v>
      </c>
      <c r="O12">
        <v>40</v>
      </c>
      <c r="P12" s="10">
        <f>AVERAGE(K2:K4)</f>
        <v>0.72000000000000008</v>
      </c>
      <c r="Q12" t="s">
        <v>14</v>
      </c>
      <c r="R12" t="s">
        <v>17</v>
      </c>
      <c r="S12">
        <v>40</v>
      </c>
      <c r="T12" s="10">
        <f>AVERAGE(K14:K16)</f>
        <v>0.38999999999999996</v>
      </c>
      <c r="U12" t="s">
        <v>9</v>
      </c>
      <c r="V12" t="s">
        <v>17</v>
      </c>
      <c r="W12">
        <v>40</v>
      </c>
      <c r="X12" s="10">
        <f>AVERAGE(K26:K28)</f>
        <v>0.3066666666666667</v>
      </c>
    </row>
    <row r="13" spans="1:24" x14ac:dyDescent="0.25">
      <c r="A13">
        <v>25</v>
      </c>
      <c r="B13" t="s">
        <v>35</v>
      </c>
      <c r="C13" t="s">
        <v>13</v>
      </c>
      <c r="D13" s="12">
        <v>1.24</v>
      </c>
      <c r="E13" s="12">
        <v>1.1200000000000001</v>
      </c>
      <c r="F13" s="12">
        <v>0.84</v>
      </c>
      <c r="G13" s="12">
        <v>0.52</v>
      </c>
      <c r="H13" s="12">
        <v>0.66</v>
      </c>
      <c r="I13" s="13">
        <v>0.57999999999999996</v>
      </c>
      <c r="J13" s="12">
        <v>0.54</v>
      </c>
      <c r="K13" s="12">
        <v>0.5</v>
      </c>
      <c r="M13" t="s">
        <v>15</v>
      </c>
      <c r="N13" t="s">
        <v>18</v>
      </c>
      <c r="O13">
        <v>5</v>
      </c>
      <c r="P13" s="10">
        <f>AVERAGE(D5:D7)</f>
        <v>1.4000000000000001</v>
      </c>
      <c r="Q13" t="s">
        <v>14</v>
      </c>
      <c r="R13" t="s">
        <v>18</v>
      </c>
      <c r="S13">
        <v>5</v>
      </c>
      <c r="T13" s="10">
        <f>AVERAGE(D17:D19)</f>
        <v>1.5333333333333332</v>
      </c>
      <c r="U13" t="s">
        <v>9</v>
      </c>
      <c r="V13" t="s">
        <v>18</v>
      </c>
      <c r="W13">
        <v>5</v>
      </c>
      <c r="X13" s="10">
        <f>AVERAGE(D29:D31)</f>
        <v>1.38</v>
      </c>
    </row>
    <row r="14" spans="1:24" x14ac:dyDescent="0.25">
      <c r="A14">
        <v>33</v>
      </c>
      <c r="B14" t="s">
        <v>34</v>
      </c>
      <c r="C14" t="s">
        <v>10</v>
      </c>
      <c r="D14" s="12">
        <v>1.54</v>
      </c>
      <c r="E14" s="12">
        <v>1.1299999999999999</v>
      </c>
      <c r="F14" s="12">
        <v>0.47</v>
      </c>
      <c r="G14" s="13">
        <v>0.51</v>
      </c>
      <c r="H14" s="12">
        <v>0.49</v>
      </c>
      <c r="I14" s="12">
        <v>0.59</v>
      </c>
      <c r="J14" s="12">
        <v>0.61</v>
      </c>
      <c r="K14" s="12">
        <v>0.53</v>
      </c>
      <c r="M14" t="s">
        <v>15</v>
      </c>
      <c r="N14" t="s">
        <v>18</v>
      </c>
      <c r="O14">
        <v>10</v>
      </c>
      <c r="P14" s="10">
        <f>AVERAGE(E5:E7)</f>
        <v>1.3533333333333333</v>
      </c>
      <c r="Q14" t="s">
        <v>14</v>
      </c>
      <c r="R14" t="s">
        <v>18</v>
      </c>
      <c r="S14">
        <v>10</v>
      </c>
      <c r="T14" s="10">
        <f>AVERAGE(E17:E19)</f>
        <v>1.1166666666666667</v>
      </c>
      <c r="U14" t="s">
        <v>9</v>
      </c>
      <c r="V14" t="s">
        <v>18</v>
      </c>
      <c r="W14">
        <v>10</v>
      </c>
      <c r="X14" s="10">
        <f>AVERAGE(E29:E31)</f>
        <v>0.89666666666666683</v>
      </c>
    </row>
    <row r="15" spans="1:24" x14ac:dyDescent="0.25">
      <c r="A15">
        <v>33</v>
      </c>
      <c r="B15" t="s">
        <v>34</v>
      </c>
      <c r="C15" t="s">
        <v>10</v>
      </c>
      <c r="D15" s="12">
        <v>1.59</v>
      </c>
      <c r="E15" s="12">
        <v>1.1299999999999999</v>
      </c>
      <c r="F15" s="12">
        <v>0.72</v>
      </c>
      <c r="G15" s="13">
        <v>0.64</v>
      </c>
      <c r="H15" s="12">
        <v>0.66</v>
      </c>
      <c r="I15" s="12">
        <v>0.52</v>
      </c>
      <c r="J15" s="12">
        <v>0.78</v>
      </c>
      <c r="K15" s="12">
        <v>0.64</v>
      </c>
      <c r="M15" t="s">
        <v>15</v>
      </c>
      <c r="N15" t="s">
        <v>18</v>
      </c>
      <c r="O15">
        <v>15</v>
      </c>
      <c r="P15" s="10">
        <f>AVERAGE(F5:F7)</f>
        <v>1.3333333333333333</v>
      </c>
      <c r="Q15" t="s">
        <v>14</v>
      </c>
      <c r="R15" t="s">
        <v>18</v>
      </c>
      <c r="S15">
        <v>15</v>
      </c>
      <c r="T15" s="10">
        <f>AVERAGE(F17:F19)</f>
        <v>0.65333333333333332</v>
      </c>
      <c r="U15" t="s">
        <v>9</v>
      </c>
      <c r="V15" t="s">
        <v>18</v>
      </c>
      <c r="W15">
        <v>15</v>
      </c>
      <c r="X15" s="10">
        <f>AVERAGE(F29:F31)</f>
        <v>0.73000000000000009</v>
      </c>
    </row>
    <row r="16" spans="1:24" x14ac:dyDescent="0.25">
      <c r="A16">
        <v>33</v>
      </c>
      <c r="B16" t="s">
        <v>34</v>
      </c>
      <c r="C16" t="s">
        <v>10</v>
      </c>
      <c r="D16" s="12">
        <v>0.93</v>
      </c>
      <c r="E16" s="12">
        <v>0.64</v>
      </c>
      <c r="F16" s="12">
        <v>0.14000000000000001</v>
      </c>
      <c r="G16" s="12">
        <v>0.04</v>
      </c>
      <c r="H16" s="12">
        <v>0.14000000000000001</v>
      </c>
      <c r="I16" s="13">
        <v>0.06</v>
      </c>
      <c r="J16" s="12">
        <v>0.08</v>
      </c>
      <c r="K16" s="12">
        <v>0</v>
      </c>
      <c r="M16" t="s">
        <v>15</v>
      </c>
      <c r="N16" t="s">
        <v>18</v>
      </c>
      <c r="O16">
        <v>20</v>
      </c>
      <c r="P16" s="10">
        <f>AVERAGE(G5:G7)</f>
        <v>1</v>
      </c>
      <c r="Q16" t="s">
        <v>14</v>
      </c>
      <c r="R16" t="s">
        <v>18</v>
      </c>
      <c r="S16">
        <v>20</v>
      </c>
      <c r="T16" s="10">
        <f>AVERAGE(G17:G19)</f>
        <v>0.51</v>
      </c>
      <c r="U16" t="s">
        <v>9</v>
      </c>
      <c r="V16" t="s">
        <v>18</v>
      </c>
      <c r="W16">
        <v>20</v>
      </c>
      <c r="X16" s="10">
        <f>AVERAGE(G29:G31)</f>
        <v>0.66666666666666663</v>
      </c>
    </row>
    <row r="17" spans="1:24" x14ac:dyDescent="0.25">
      <c r="A17" s="14">
        <v>41</v>
      </c>
      <c r="B17" t="s">
        <v>34</v>
      </c>
      <c r="C17" t="s">
        <v>33</v>
      </c>
      <c r="D17" s="12">
        <v>1.65</v>
      </c>
      <c r="E17" s="12">
        <v>1.33</v>
      </c>
      <c r="F17" s="12">
        <v>0.78</v>
      </c>
      <c r="G17" s="13">
        <v>0.5</v>
      </c>
      <c r="H17" s="12">
        <v>0.7</v>
      </c>
      <c r="I17" s="12">
        <v>0.6</v>
      </c>
      <c r="J17" s="12">
        <v>0.54</v>
      </c>
      <c r="K17" s="12">
        <v>0.66</v>
      </c>
      <c r="M17" t="s">
        <v>15</v>
      </c>
      <c r="N17" t="s">
        <v>18</v>
      </c>
      <c r="O17">
        <v>25</v>
      </c>
      <c r="P17" s="10">
        <f>AVERAGE(H5:H7)</f>
        <v>0.85</v>
      </c>
      <c r="Q17" t="s">
        <v>14</v>
      </c>
      <c r="R17" t="s">
        <v>18</v>
      </c>
      <c r="S17">
        <v>25</v>
      </c>
      <c r="T17" s="10">
        <f>AVERAGE(H17:H19)</f>
        <v>0.58333333333333337</v>
      </c>
      <c r="U17" t="s">
        <v>9</v>
      </c>
      <c r="V17" t="s">
        <v>18</v>
      </c>
      <c r="W17">
        <v>25</v>
      </c>
      <c r="X17" s="10">
        <f>AVERAGE(H29:H31)</f>
        <v>0.48666666666666664</v>
      </c>
    </row>
    <row r="18" spans="1:24" x14ac:dyDescent="0.25">
      <c r="A18" s="14">
        <v>41</v>
      </c>
      <c r="B18" t="s">
        <v>34</v>
      </c>
      <c r="C18" t="s">
        <v>33</v>
      </c>
      <c r="D18" s="12">
        <v>1.48</v>
      </c>
      <c r="E18" s="12">
        <v>1.17</v>
      </c>
      <c r="F18" s="12">
        <v>0.75</v>
      </c>
      <c r="G18" s="13">
        <v>0.51</v>
      </c>
      <c r="H18" s="12">
        <v>0.45</v>
      </c>
      <c r="I18" s="12">
        <v>0.59</v>
      </c>
      <c r="J18" s="12">
        <v>0.41</v>
      </c>
      <c r="K18" s="12">
        <v>0.37</v>
      </c>
      <c r="M18" t="s">
        <v>15</v>
      </c>
      <c r="N18" t="s">
        <v>18</v>
      </c>
      <c r="O18">
        <v>30</v>
      </c>
      <c r="P18" s="10">
        <f>AVERAGE(I5:I7)</f>
        <v>0.67333333333333334</v>
      </c>
      <c r="Q18" t="s">
        <v>14</v>
      </c>
      <c r="R18" t="s">
        <v>18</v>
      </c>
      <c r="S18">
        <v>30</v>
      </c>
      <c r="T18" s="10">
        <f>AVERAGE(I17:I19)</f>
        <v>0.60333333333333339</v>
      </c>
      <c r="U18" t="s">
        <v>9</v>
      </c>
      <c r="V18" t="s">
        <v>18</v>
      </c>
      <c r="W18">
        <v>30</v>
      </c>
      <c r="X18" s="10">
        <f>AVERAGE(I29:I31)</f>
        <v>0.51999999999999991</v>
      </c>
    </row>
    <row r="19" spans="1:24" x14ac:dyDescent="0.25">
      <c r="A19" s="14">
        <v>41</v>
      </c>
      <c r="B19" t="s">
        <v>34</v>
      </c>
      <c r="C19" t="s">
        <v>33</v>
      </c>
      <c r="D19" s="12">
        <v>1.47</v>
      </c>
      <c r="E19" s="12">
        <v>0.85</v>
      </c>
      <c r="F19" s="12">
        <v>0.43</v>
      </c>
      <c r="G19" s="12">
        <v>0.52</v>
      </c>
      <c r="H19" s="12">
        <v>0.6</v>
      </c>
      <c r="I19" s="13">
        <v>0.62</v>
      </c>
      <c r="J19" s="12">
        <v>0.45</v>
      </c>
      <c r="K19" s="12">
        <v>0.48</v>
      </c>
      <c r="M19" t="s">
        <v>15</v>
      </c>
      <c r="N19" t="s">
        <v>18</v>
      </c>
      <c r="O19">
        <v>35</v>
      </c>
      <c r="P19" s="10">
        <f>AVERAGE(J5:J7)</f>
        <v>0.59</v>
      </c>
      <c r="Q19" t="s">
        <v>14</v>
      </c>
      <c r="R19" t="s">
        <v>18</v>
      </c>
      <c r="S19">
        <v>35</v>
      </c>
      <c r="T19" s="10">
        <f>AVERAGE(J17:J19)</f>
        <v>0.46666666666666662</v>
      </c>
      <c r="U19" t="s">
        <v>9</v>
      </c>
      <c r="V19" t="s">
        <v>18</v>
      </c>
      <c r="W19">
        <v>35</v>
      </c>
      <c r="X19" s="10">
        <f>AVERAGE(J29:J31)</f>
        <v>0.44333333333333336</v>
      </c>
    </row>
    <row r="20" spans="1:24" x14ac:dyDescent="0.25">
      <c r="A20" s="14">
        <v>49</v>
      </c>
      <c r="B20" t="s">
        <v>34</v>
      </c>
      <c r="C20" t="s">
        <v>11</v>
      </c>
      <c r="D20" s="12">
        <v>1.32</v>
      </c>
      <c r="E20" s="12">
        <v>0.83</v>
      </c>
      <c r="F20" s="12">
        <v>0.61</v>
      </c>
      <c r="G20" s="13">
        <v>0.55000000000000004</v>
      </c>
      <c r="H20" s="12">
        <v>0.49</v>
      </c>
      <c r="I20" s="12">
        <v>0.34</v>
      </c>
      <c r="J20" s="12">
        <v>0.36</v>
      </c>
      <c r="K20" s="12">
        <v>0.28000000000000003</v>
      </c>
      <c r="M20" t="s">
        <v>15</v>
      </c>
      <c r="N20" t="s">
        <v>18</v>
      </c>
      <c r="O20">
        <v>40</v>
      </c>
      <c r="P20" s="10">
        <f>AVERAGE(K5:K7)</f>
        <v>0.5033333333333333</v>
      </c>
      <c r="Q20" t="s">
        <v>14</v>
      </c>
      <c r="R20" t="s">
        <v>18</v>
      </c>
      <c r="S20">
        <v>40</v>
      </c>
      <c r="T20" s="10">
        <f>AVERAGE(K17:K19)</f>
        <v>0.5033333333333333</v>
      </c>
      <c r="U20" t="s">
        <v>9</v>
      </c>
      <c r="V20" t="s">
        <v>18</v>
      </c>
      <c r="W20">
        <v>40</v>
      </c>
      <c r="X20" s="10">
        <f>AVERAGE(K29:K31)</f>
        <v>0.48333333333333339</v>
      </c>
    </row>
    <row r="21" spans="1:24" x14ac:dyDescent="0.25">
      <c r="A21" s="14">
        <v>49</v>
      </c>
      <c r="B21" t="s">
        <v>34</v>
      </c>
      <c r="C21" t="s">
        <v>11</v>
      </c>
      <c r="D21" s="12">
        <v>1.29</v>
      </c>
      <c r="E21" s="12">
        <v>0.93</v>
      </c>
      <c r="F21" s="12">
        <v>0.53</v>
      </c>
      <c r="G21" s="13">
        <v>0.49</v>
      </c>
      <c r="H21" s="12">
        <v>0.51</v>
      </c>
      <c r="I21" s="12">
        <v>0.47</v>
      </c>
      <c r="J21" s="12">
        <v>0.45</v>
      </c>
      <c r="K21" s="12">
        <v>0.42</v>
      </c>
      <c r="M21" t="s">
        <v>15</v>
      </c>
      <c r="N21" t="s">
        <v>19</v>
      </c>
      <c r="O21">
        <v>5</v>
      </c>
      <c r="P21" s="10">
        <f>AVERAGE(D11:D13)</f>
        <v>1.1266666666666667</v>
      </c>
      <c r="Q21" t="s">
        <v>14</v>
      </c>
      <c r="R21" t="s">
        <v>19</v>
      </c>
      <c r="S21">
        <v>5</v>
      </c>
      <c r="T21" s="10">
        <f>AVERAGE(D23:D25)</f>
        <v>1.5366666666666664</v>
      </c>
      <c r="U21" t="s">
        <v>9</v>
      </c>
      <c r="V21" t="s">
        <v>19</v>
      </c>
      <c r="W21">
        <v>5</v>
      </c>
      <c r="X21" s="10">
        <f>AVERAGE(D35:D37)</f>
        <v>1.3633333333333333</v>
      </c>
    </row>
    <row r="22" spans="1:24" x14ac:dyDescent="0.25">
      <c r="A22" s="14">
        <v>49</v>
      </c>
      <c r="B22" t="s">
        <v>34</v>
      </c>
      <c r="C22" t="s">
        <v>11</v>
      </c>
      <c r="D22" s="12">
        <v>1.48</v>
      </c>
      <c r="E22" s="12">
        <v>1.1499999999999999</v>
      </c>
      <c r="F22" s="12">
        <v>0.37</v>
      </c>
      <c r="G22" s="12">
        <v>0.37</v>
      </c>
      <c r="H22" s="12">
        <v>0.33</v>
      </c>
      <c r="I22" s="13">
        <v>0.28999999999999998</v>
      </c>
      <c r="J22" s="12">
        <v>0.41</v>
      </c>
      <c r="K22" s="12">
        <v>0.39</v>
      </c>
      <c r="M22" t="s">
        <v>15</v>
      </c>
      <c r="N22" t="s">
        <v>19</v>
      </c>
      <c r="O22">
        <v>10</v>
      </c>
      <c r="P22" s="10">
        <f>AVERAGE(E11:E13)</f>
        <v>1.0999999999999999</v>
      </c>
      <c r="Q22" t="s">
        <v>14</v>
      </c>
      <c r="R22" t="s">
        <v>19</v>
      </c>
      <c r="S22">
        <v>10</v>
      </c>
      <c r="T22" s="10">
        <f>AVERAGE(E23:E25)</f>
        <v>1.1533333333333335</v>
      </c>
      <c r="U22" t="s">
        <v>9</v>
      </c>
      <c r="V22" t="s">
        <v>19</v>
      </c>
      <c r="W22">
        <v>10</v>
      </c>
      <c r="X22" s="10">
        <f>AVERAGE(E35:E37)</f>
        <v>1.0333333333333334</v>
      </c>
    </row>
    <row r="23" spans="1:24" x14ac:dyDescent="0.25">
      <c r="A23" s="14">
        <v>57</v>
      </c>
      <c r="B23" t="s">
        <v>34</v>
      </c>
      <c r="C23" t="s">
        <v>13</v>
      </c>
      <c r="D23" s="12">
        <v>1.58</v>
      </c>
      <c r="E23" s="12">
        <v>1.42</v>
      </c>
      <c r="F23" s="12">
        <v>0.47</v>
      </c>
      <c r="G23" s="13">
        <v>0.51</v>
      </c>
      <c r="H23" s="12">
        <v>0.47</v>
      </c>
      <c r="I23" s="12">
        <v>0.4</v>
      </c>
      <c r="J23" s="12">
        <v>0.4</v>
      </c>
      <c r="K23" s="12">
        <v>0.42</v>
      </c>
      <c r="M23" t="s">
        <v>15</v>
      </c>
      <c r="N23" t="s">
        <v>19</v>
      </c>
      <c r="O23">
        <v>15</v>
      </c>
      <c r="P23" s="10">
        <f>AVERAGE(F11:F13)</f>
        <v>0.85333333333333339</v>
      </c>
      <c r="Q23" t="s">
        <v>14</v>
      </c>
      <c r="R23" t="s">
        <v>19</v>
      </c>
      <c r="S23">
        <v>15</v>
      </c>
      <c r="T23" s="10">
        <f>AVERAGE(F23:F25)</f>
        <v>0.59666666666666657</v>
      </c>
      <c r="U23" t="s">
        <v>9</v>
      </c>
      <c r="V23" t="s">
        <v>19</v>
      </c>
      <c r="W23">
        <v>15</v>
      </c>
      <c r="X23" s="10">
        <f>AVERAGE(F35:F37)</f>
        <v>0.90333333333333332</v>
      </c>
    </row>
    <row r="24" spans="1:24" x14ac:dyDescent="0.25">
      <c r="A24" s="14">
        <v>57</v>
      </c>
      <c r="B24" t="s">
        <v>34</v>
      </c>
      <c r="C24" t="s">
        <v>13</v>
      </c>
      <c r="D24" s="12">
        <v>1.63</v>
      </c>
      <c r="E24" s="12">
        <v>1.1100000000000001</v>
      </c>
      <c r="F24" s="12">
        <v>0.91</v>
      </c>
      <c r="G24" s="13">
        <v>0.6</v>
      </c>
      <c r="H24" s="12">
        <v>0.64</v>
      </c>
      <c r="I24" s="12">
        <v>0.43</v>
      </c>
      <c r="J24" s="12">
        <v>0.47</v>
      </c>
      <c r="K24" s="12">
        <v>0.41</v>
      </c>
      <c r="M24" t="s">
        <v>15</v>
      </c>
      <c r="N24" t="s">
        <v>19</v>
      </c>
      <c r="O24">
        <v>20</v>
      </c>
      <c r="P24" s="10">
        <f>AVERAGE(G11:G13)</f>
        <v>0.58666666666666667</v>
      </c>
      <c r="Q24" t="s">
        <v>14</v>
      </c>
      <c r="R24" t="s">
        <v>19</v>
      </c>
      <c r="S24">
        <v>20</v>
      </c>
      <c r="T24" s="10">
        <f>AVERAGE(G23:G25)</f>
        <v>0.58333333333333337</v>
      </c>
      <c r="U24" t="s">
        <v>9</v>
      </c>
      <c r="V24" t="s">
        <v>19</v>
      </c>
      <c r="W24">
        <v>20</v>
      </c>
      <c r="X24" s="10">
        <f>AVERAGE(G35:G37)</f>
        <v>0.88666666666666671</v>
      </c>
    </row>
    <row r="25" spans="1:24" x14ac:dyDescent="0.25">
      <c r="A25" s="14">
        <v>57</v>
      </c>
      <c r="B25" t="s">
        <v>34</v>
      </c>
      <c r="C25" t="s">
        <v>13</v>
      </c>
      <c r="D25" s="12">
        <v>1.4</v>
      </c>
      <c r="E25" s="12">
        <v>0.93</v>
      </c>
      <c r="F25" s="12">
        <v>0.41</v>
      </c>
      <c r="G25" s="12">
        <v>0.64</v>
      </c>
      <c r="H25" s="12">
        <v>0.35</v>
      </c>
      <c r="I25" s="13">
        <v>0.33</v>
      </c>
      <c r="J25" s="12">
        <v>0.41</v>
      </c>
      <c r="K25" s="12">
        <v>0.31</v>
      </c>
      <c r="M25" t="s">
        <v>15</v>
      </c>
      <c r="N25" t="s">
        <v>19</v>
      </c>
      <c r="O25">
        <v>25</v>
      </c>
      <c r="P25" s="10">
        <f>AVERAGE(H11:H13)</f>
        <v>0.53333333333333333</v>
      </c>
      <c r="Q25" t="s">
        <v>14</v>
      </c>
      <c r="R25" t="s">
        <v>19</v>
      </c>
      <c r="S25">
        <v>25</v>
      </c>
      <c r="T25" s="10">
        <f>AVERAGE(H23:H25)</f>
        <v>0.48666666666666664</v>
      </c>
      <c r="U25" t="s">
        <v>9</v>
      </c>
      <c r="V25" t="s">
        <v>19</v>
      </c>
      <c r="W25">
        <v>25</v>
      </c>
      <c r="X25" s="10">
        <f>AVERAGE(H35:H37)</f>
        <v>0.61333333333333329</v>
      </c>
    </row>
    <row r="26" spans="1:24" x14ac:dyDescent="0.25">
      <c r="A26" s="14">
        <v>65</v>
      </c>
      <c r="B26" t="s">
        <v>30</v>
      </c>
      <c r="C26" t="s">
        <v>10</v>
      </c>
      <c r="D26" s="12">
        <v>1.03</v>
      </c>
      <c r="E26" s="12">
        <v>0.7</v>
      </c>
      <c r="F26" s="12">
        <v>0.48</v>
      </c>
      <c r="G26" s="13">
        <v>0.52</v>
      </c>
      <c r="H26" s="12">
        <v>0.45</v>
      </c>
      <c r="I26" s="12">
        <v>0.45</v>
      </c>
      <c r="J26" s="12">
        <v>0.41</v>
      </c>
      <c r="K26" s="12">
        <v>0.27</v>
      </c>
      <c r="M26" t="s">
        <v>15</v>
      </c>
      <c r="N26" t="s">
        <v>19</v>
      </c>
      <c r="O26">
        <v>30</v>
      </c>
      <c r="P26" s="10">
        <f>AVERAGE(I11:I13)</f>
        <v>0.52</v>
      </c>
      <c r="Q26" t="s">
        <v>14</v>
      </c>
      <c r="R26" t="s">
        <v>19</v>
      </c>
      <c r="S26">
        <v>30</v>
      </c>
      <c r="T26" s="10">
        <f>AVERAGE(I23:I25)</f>
        <v>0.38666666666666671</v>
      </c>
      <c r="U26" t="s">
        <v>9</v>
      </c>
      <c r="V26" t="s">
        <v>19</v>
      </c>
      <c r="W26">
        <v>30</v>
      </c>
      <c r="X26" s="10">
        <f>AVERAGE(I35:I37)</f>
        <v>0.55999999999999994</v>
      </c>
    </row>
    <row r="27" spans="1:24" x14ac:dyDescent="0.25">
      <c r="A27" s="14">
        <v>65</v>
      </c>
      <c r="B27" t="s">
        <v>30</v>
      </c>
      <c r="C27" t="s">
        <v>10</v>
      </c>
      <c r="D27" s="13">
        <v>0.62</v>
      </c>
      <c r="E27" s="12">
        <v>0.52</v>
      </c>
      <c r="F27" s="12">
        <v>0.41</v>
      </c>
      <c r="G27" s="12">
        <v>0.52</v>
      </c>
      <c r="H27" s="12">
        <v>0.48</v>
      </c>
      <c r="I27" s="12">
        <v>0.56000000000000005</v>
      </c>
      <c r="J27" s="12">
        <v>0.09</v>
      </c>
      <c r="K27" s="12">
        <v>0.11</v>
      </c>
      <c r="M27" t="s">
        <v>15</v>
      </c>
      <c r="N27" t="s">
        <v>19</v>
      </c>
      <c r="O27">
        <v>35</v>
      </c>
      <c r="P27" s="10">
        <f>AVERAGE(J11:J13)</f>
        <v>0.57333333333333336</v>
      </c>
      <c r="Q27" t="s">
        <v>14</v>
      </c>
      <c r="R27" t="s">
        <v>19</v>
      </c>
      <c r="S27">
        <v>35</v>
      </c>
      <c r="T27" s="10">
        <f>AVERAGE(J23:J25)</f>
        <v>0.42666666666666669</v>
      </c>
      <c r="U27" t="s">
        <v>9</v>
      </c>
      <c r="V27" t="s">
        <v>19</v>
      </c>
      <c r="W27">
        <v>35</v>
      </c>
      <c r="X27" s="10">
        <f>AVERAGE(J35:J37)</f>
        <v>0.49000000000000005</v>
      </c>
    </row>
    <row r="28" spans="1:24" x14ac:dyDescent="0.25">
      <c r="A28" s="14">
        <v>65</v>
      </c>
      <c r="B28" t="s">
        <v>30</v>
      </c>
      <c r="C28" t="s">
        <v>10</v>
      </c>
      <c r="D28" s="12">
        <v>0.96</v>
      </c>
      <c r="E28" s="12">
        <v>0.62</v>
      </c>
      <c r="F28" s="12">
        <v>0.86</v>
      </c>
      <c r="G28" s="12">
        <v>0.62</v>
      </c>
      <c r="H28" s="12">
        <v>0.51</v>
      </c>
      <c r="I28" s="13">
        <v>0.41</v>
      </c>
      <c r="J28" s="12">
        <v>0.32</v>
      </c>
      <c r="K28" s="12">
        <v>0.54</v>
      </c>
      <c r="M28" t="s">
        <v>15</v>
      </c>
      <c r="N28" t="s">
        <v>19</v>
      </c>
      <c r="O28">
        <v>40</v>
      </c>
      <c r="P28" s="10">
        <f>AVERAGE(K11:K13)</f>
        <v>0.48</v>
      </c>
      <c r="Q28" t="s">
        <v>14</v>
      </c>
      <c r="R28" t="s">
        <v>19</v>
      </c>
      <c r="S28">
        <v>40</v>
      </c>
      <c r="T28" s="10">
        <f>AVERAGE(K23:K25)</f>
        <v>0.37999999999999995</v>
      </c>
      <c r="U28" t="s">
        <v>9</v>
      </c>
      <c r="V28" t="s">
        <v>19</v>
      </c>
      <c r="W28">
        <v>40</v>
      </c>
      <c r="X28" s="10">
        <f>AVERAGE(K35:K37)</f>
        <v>0.55666666666666664</v>
      </c>
    </row>
    <row r="29" spans="1:24" x14ac:dyDescent="0.25">
      <c r="A29" s="14">
        <v>73</v>
      </c>
      <c r="B29" t="s">
        <v>30</v>
      </c>
      <c r="C29" t="s">
        <v>33</v>
      </c>
      <c r="D29" s="12">
        <v>1.39</v>
      </c>
      <c r="E29" s="12">
        <v>0.96</v>
      </c>
      <c r="F29" s="12">
        <v>0.92</v>
      </c>
      <c r="G29" s="13">
        <v>0.71</v>
      </c>
      <c r="H29" s="12">
        <v>0.66</v>
      </c>
      <c r="I29" s="12">
        <v>0.57999999999999996</v>
      </c>
      <c r="J29" s="12">
        <v>0.21</v>
      </c>
      <c r="K29" s="12">
        <v>0.39</v>
      </c>
      <c r="M29" t="s">
        <v>15</v>
      </c>
      <c r="N29" t="s">
        <v>20</v>
      </c>
      <c r="O29">
        <v>5</v>
      </c>
      <c r="P29" s="10">
        <f>AVERAGE(D8:D10)</f>
        <v>1.1266666666666667</v>
      </c>
      <c r="Q29" t="s">
        <v>14</v>
      </c>
      <c r="R29" t="s">
        <v>20</v>
      </c>
      <c r="S29">
        <v>5</v>
      </c>
      <c r="T29" s="10">
        <f>AVERAGE(D20:D22)</f>
        <v>1.3633333333333333</v>
      </c>
      <c r="U29" t="s">
        <v>9</v>
      </c>
      <c r="V29" t="s">
        <v>20</v>
      </c>
      <c r="W29">
        <v>5</v>
      </c>
      <c r="X29" s="10">
        <f>AVERAGE(D32:D34)</f>
        <v>1.0233333333333334</v>
      </c>
    </row>
    <row r="30" spans="1:24" x14ac:dyDescent="0.25">
      <c r="A30" s="14">
        <v>73</v>
      </c>
      <c r="B30" t="s">
        <v>30</v>
      </c>
      <c r="C30" t="s">
        <v>33</v>
      </c>
      <c r="D30" s="13">
        <v>1.0900000000000001</v>
      </c>
      <c r="E30" s="12">
        <v>0.66</v>
      </c>
      <c r="F30" s="12">
        <v>0.53</v>
      </c>
      <c r="G30" s="12">
        <v>0.53</v>
      </c>
      <c r="H30" s="12">
        <v>0.35</v>
      </c>
      <c r="I30" s="12">
        <v>0.47</v>
      </c>
      <c r="J30" s="12">
        <v>0.53</v>
      </c>
      <c r="K30" s="12">
        <v>0.45</v>
      </c>
      <c r="M30" t="s">
        <v>15</v>
      </c>
      <c r="N30" t="s">
        <v>20</v>
      </c>
      <c r="O30">
        <v>10</v>
      </c>
      <c r="P30" s="10">
        <f>AVERAGE(E8:E10)</f>
        <v>1.1933333333333334</v>
      </c>
      <c r="Q30" t="s">
        <v>14</v>
      </c>
      <c r="R30" t="s">
        <v>20</v>
      </c>
      <c r="S30">
        <v>10</v>
      </c>
      <c r="T30" s="10">
        <f>AVERAGE(E20:E22)</f>
        <v>0.97000000000000008</v>
      </c>
      <c r="U30" t="s">
        <v>9</v>
      </c>
      <c r="V30" t="s">
        <v>20</v>
      </c>
      <c r="W30">
        <v>10</v>
      </c>
      <c r="X30" s="10">
        <f>AVERAGE(E32:E34)</f>
        <v>0.73666666666666669</v>
      </c>
    </row>
    <row r="31" spans="1:24" x14ac:dyDescent="0.25">
      <c r="A31" s="14">
        <v>73</v>
      </c>
      <c r="B31" t="s">
        <v>30</v>
      </c>
      <c r="C31" t="s">
        <v>33</v>
      </c>
      <c r="D31" s="12">
        <v>1.66</v>
      </c>
      <c r="E31" s="12">
        <v>1.07</v>
      </c>
      <c r="F31" s="12">
        <v>0.74</v>
      </c>
      <c r="G31" s="12">
        <v>0.76</v>
      </c>
      <c r="H31" s="12">
        <v>0.45</v>
      </c>
      <c r="I31" s="13">
        <v>0.51</v>
      </c>
      <c r="J31" s="12">
        <v>0.59</v>
      </c>
      <c r="K31" s="12">
        <v>0.61</v>
      </c>
      <c r="M31" t="s">
        <v>15</v>
      </c>
      <c r="N31" t="s">
        <v>20</v>
      </c>
      <c r="O31">
        <v>15</v>
      </c>
      <c r="P31" s="10">
        <f>AVERAGE(F8:F10)</f>
        <v>1.0199999999999998</v>
      </c>
      <c r="Q31" t="s">
        <v>14</v>
      </c>
      <c r="R31" t="s">
        <v>20</v>
      </c>
      <c r="S31">
        <v>15</v>
      </c>
      <c r="T31" s="10">
        <f>AVERAGE(F20:F22)</f>
        <v>0.50333333333333341</v>
      </c>
      <c r="U31" t="s">
        <v>9</v>
      </c>
      <c r="V31" t="s">
        <v>20</v>
      </c>
      <c r="W31">
        <v>15</v>
      </c>
      <c r="X31" s="10">
        <f>AVERAGE(F32:F34)</f>
        <v>0.59</v>
      </c>
    </row>
    <row r="32" spans="1:24" x14ac:dyDescent="0.25">
      <c r="A32" s="14">
        <v>81</v>
      </c>
      <c r="B32" t="s">
        <v>30</v>
      </c>
      <c r="C32" t="s">
        <v>11</v>
      </c>
      <c r="D32" s="12">
        <v>0.93</v>
      </c>
      <c r="E32" s="12">
        <v>0.91</v>
      </c>
      <c r="F32" s="12">
        <v>0.72</v>
      </c>
      <c r="G32" s="13">
        <v>0.54</v>
      </c>
      <c r="H32" s="12">
        <v>0.52</v>
      </c>
      <c r="I32" s="12">
        <v>0.62</v>
      </c>
      <c r="J32" s="12">
        <v>0.43</v>
      </c>
      <c r="K32" s="12">
        <v>0.41</v>
      </c>
      <c r="M32" t="s">
        <v>15</v>
      </c>
      <c r="N32" t="s">
        <v>20</v>
      </c>
      <c r="O32">
        <v>20</v>
      </c>
      <c r="P32" s="10">
        <f>AVERAGE(G8:G10)</f>
        <v>0.98</v>
      </c>
      <c r="Q32" t="s">
        <v>14</v>
      </c>
      <c r="R32" t="s">
        <v>20</v>
      </c>
      <c r="S32">
        <v>20</v>
      </c>
      <c r="T32" s="10">
        <f>AVERAGE(G20:G22)</f>
        <v>0.47000000000000003</v>
      </c>
      <c r="U32" t="s">
        <v>9</v>
      </c>
      <c r="V32" t="s">
        <v>20</v>
      </c>
      <c r="W32">
        <v>20</v>
      </c>
      <c r="X32" s="10">
        <f>AVERAGE(G32:G34)</f>
        <v>0.51333333333333331</v>
      </c>
    </row>
    <row r="33" spans="1:24" x14ac:dyDescent="0.25">
      <c r="A33" s="14">
        <v>81</v>
      </c>
      <c r="B33" t="s">
        <v>30</v>
      </c>
      <c r="C33" t="s">
        <v>11</v>
      </c>
      <c r="D33" s="13">
        <v>0.9</v>
      </c>
      <c r="E33" s="12">
        <v>0.64</v>
      </c>
      <c r="F33" s="12">
        <v>0.49</v>
      </c>
      <c r="G33" s="12">
        <v>0.36</v>
      </c>
      <c r="H33" s="12">
        <v>0.45</v>
      </c>
      <c r="I33" s="12">
        <v>0.39</v>
      </c>
      <c r="J33" s="12">
        <v>0.21</v>
      </c>
      <c r="K33" s="12">
        <v>0.28000000000000003</v>
      </c>
      <c r="M33" t="s">
        <v>15</v>
      </c>
      <c r="N33" t="s">
        <v>20</v>
      </c>
      <c r="O33">
        <v>25</v>
      </c>
      <c r="P33" s="10">
        <f>AVERAGE(H8:H10)</f>
        <v>0.65333333333333332</v>
      </c>
      <c r="Q33" t="s">
        <v>14</v>
      </c>
      <c r="R33" t="s">
        <v>20</v>
      </c>
      <c r="S33">
        <v>25</v>
      </c>
      <c r="T33" s="10">
        <f>AVERAGE(H20:H22)</f>
        <v>0.44333333333333336</v>
      </c>
      <c r="U33" t="s">
        <v>9</v>
      </c>
      <c r="V33" t="s">
        <v>20</v>
      </c>
      <c r="W33">
        <v>25</v>
      </c>
      <c r="X33" s="10">
        <f>AVERAGE(H32:H34)</f>
        <v>0.49333333333333335</v>
      </c>
    </row>
    <row r="34" spans="1:24" x14ac:dyDescent="0.25">
      <c r="A34" s="14">
        <v>81</v>
      </c>
      <c r="B34" t="s">
        <v>30</v>
      </c>
      <c r="C34" t="s">
        <v>11</v>
      </c>
      <c r="D34" s="12">
        <v>1.24</v>
      </c>
      <c r="E34" s="12">
        <v>0.66</v>
      </c>
      <c r="F34" s="12">
        <v>0.56000000000000005</v>
      </c>
      <c r="G34" s="12">
        <v>0.64</v>
      </c>
      <c r="H34" s="12">
        <v>0.51</v>
      </c>
      <c r="I34" s="13">
        <v>0.47</v>
      </c>
      <c r="J34" s="12">
        <v>0.41</v>
      </c>
      <c r="K34" s="12">
        <v>0.47</v>
      </c>
      <c r="M34" t="s">
        <v>15</v>
      </c>
      <c r="N34" t="s">
        <v>20</v>
      </c>
      <c r="O34">
        <v>30</v>
      </c>
      <c r="P34" s="10">
        <f>AVERAGE(I8:I10)</f>
        <v>0.71</v>
      </c>
      <c r="Q34" t="s">
        <v>14</v>
      </c>
      <c r="R34" t="s">
        <v>20</v>
      </c>
      <c r="S34">
        <v>30</v>
      </c>
      <c r="T34" s="10">
        <f>AVERAGE(I20:I22)</f>
        <v>0.3666666666666667</v>
      </c>
      <c r="U34" t="s">
        <v>9</v>
      </c>
      <c r="V34" t="s">
        <v>20</v>
      </c>
      <c r="W34">
        <v>30</v>
      </c>
      <c r="X34" s="10">
        <f>AVERAGE(I32:I34)</f>
        <v>0.49333333333333335</v>
      </c>
    </row>
    <row r="35" spans="1:24" x14ac:dyDescent="0.25">
      <c r="A35" s="14">
        <v>89</v>
      </c>
      <c r="B35" t="s">
        <v>30</v>
      </c>
      <c r="C35" t="s">
        <v>13</v>
      </c>
      <c r="D35" s="12">
        <v>1.28</v>
      </c>
      <c r="E35" s="12">
        <v>1.24</v>
      </c>
      <c r="F35" s="12">
        <v>1.1100000000000001</v>
      </c>
      <c r="G35" s="13">
        <v>1.18</v>
      </c>
      <c r="H35" s="12">
        <v>0.9</v>
      </c>
      <c r="I35" s="12">
        <v>0.62</v>
      </c>
      <c r="J35" s="12">
        <v>0.32</v>
      </c>
      <c r="K35" s="12">
        <v>0.3</v>
      </c>
      <c r="M35" t="s">
        <v>15</v>
      </c>
      <c r="N35" t="s">
        <v>20</v>
      </c>
      <c r="O35">
        <v>35</v>
      </c>
      <c r="P35" s="10">
        <f>AVERAGE(J8:J10)</f>
        <v>0.6333333333333333</v>
      </c>
      <c r="Q35" t="s">
        <v>14</v>
      </c>
      <c r="R35" t="s">
        <v>20</v>
      </c>
      <c r="S35">
        <v>35</v>
      </c>
      <c r="T35" s="10">
        <f>AVERAGE(J20:J22)</f>
        <v>0.40666666666666668</v>
      </c>
      <c r="U35" t="s">
        <v>9</v>
      </c>
      <c r="V35" t="s">
        <v>20</v>
      </c>
      <c r="W35">
        <v>35</v>
      </c>
      <c r="X35" s="10">
        <f>AVERAGE(J32:J34)</f>
        <v>0.35000000000000003</v>
      </c>
    </row>
    <row r="36" spans="1:24" x14ac:dyDescent="0.25">
      <c r="A36" s="14">
        <v>89</v>
      </c>
      <c r="B36" t="s">
        <v>30</v>
      </c>
      <c r="C36" t="s">
        <v>13</v>
      </c>
      <c r="D36" s="13">
        <v>1.54</v>
      </c>
      <c r="E36" s="12">
        <v>0.9</v>
      </c>
      <c r="F36" s="12">
        <v>0.72</v>
      </c>
      <c r="G36" s="12">
        <v>0.72</v>
      </c>
      <c r="H36" s="12">
        <v>0.37</v>
      </c>
      <c r="I36" s="12">
        <v>0.49</v>
      </c>
      <c r="J36" s="12">
        <v>0.47</v>
      </c>
      <c r="K36" s="12">
        <v>0.61</v>
      </c>
      <c r="M36" t="s">
        <v>15</v>
      </c>
      <c r="N36" t="s">
        <v>20</v>
      </c>
      <c r="O36">
        <v>40</v>
      </c>
      <c r="P36" s="10">
        <f>AVERAGE(K8:K10)</f>
        <v>0.60333333333333339</v>
      </c>
      <c r="Q36" t="s">
        <v>14</v>
      </c>
      <c r="R36" t="s">
        <v>20</v>
      </c>
      <c r="S36">
        <v>40</v>
      </c>
      <c r="T36" s="10">
        <f>AVERAGE(K23:K25)</f>
        <v>0.37999999999999995</v>
      </c>
      <c r="U36" t="s">
        <v>9</v>
      </c>
      <c r="V36" t="s">
        <v>20</v>
      </c>
      <c r="W36">
        <v>40</v>
      </c>
      <c r="X36" s="10">
        <f>AVERAGE(K32:K34)</f>
        <v>0.38666666666666666</v>
      </c>
    </row>
    <row r="37" spans="1:24" x14ac:dyDescent="0.25">
      <c r="A37" s="14">
        <v>89</v>
      </c>
      <c r="B37" t="s">
        <v>35</v>
      </c>
      <c r="C37" t="s">
        <v>13</v>
      </c>
      <c r="D37" s="12">
        <v>1.27</v>
      </c>
      <c r="E37" s="12">
        <v>0.96</v>
      </c>
      <c r="F37" s="12">
        <v>0.88</v>
      </c>
      <c r="G37" s="12">
        <v>0.76</v>
      </c>
      <c r="H37" s="12">
        <v>0.56999999999999995</v>
      </c>
      <c r="I37" s="13">
        <v>0.56999999999999995</v>
      </c>
      <c r="J37" s="12">
        <v>0.68</v>
      </c>
      <c r="K37" s="12">
        <v>0.76</v>
      </c>
    </row>
    <row r="38" spans="1:24" x14ac:dyDescent="0.25">
      <c r="A38" s="14"/>
    </row>
    <row r="39" spans="1:24" x14ac:dyDescent="0.25">
      <c r="A39" s="14"/>
    </row>
    <row r="40" spans="1:24" x14ac:dyDescent="0.25">
      <c r="A40" s="14"/>
    </row>
    <row r="41" spans="1:24" x14ac:dyDescent="0.25">
      <c r="A41" s="14"/>
    </row>
    <row r="42" spans="1:24" x14ac:dyDescent="0.25">
      <c r="A42" s="14"/>
    </row>
    <row r="43" spans="1:24" x14ac:dyDescent="0.25">
      <c r="A43" s="14"/>
    </row>
    <row r="44" spans="1:24" x14ac:dyDescent="0.25">
      <c r="A44" s="14"/>
    </row>
    <row r="45" spans="1:24" x14ac:dyDescent="0.25">
      <c r="A45" s="14"/>
    </row>
    <row r="46" spans="1:24" x14ac:dyDescent="0.25">
      <c r="A46" s="14"/>
    </row>
    <row r="47" spans="1:24" x14ac:dyDescent="0.25">
      <c r="A47" s="14"/>
    </row>
    <row r="48" spans="1:24" x14ac:dyDescent="0.25">
      <c r="A48" s="14"/>
    </row>
    <row r="49" spans="1:1" x14ac:dyDescent="0.25">
      <c r="A49" s="14"/>
    </row>
    <row r="50" spans="1:1" x14ac:dyDescent="0.25">
      <c r="A50" s="14"/>
    </row>
    <row r="51" spans="1:1" x14ac:dyDescent="0.25">
      <c r="A51" s="14"/>
    </row>
    <row r="52" spans="1:1" x14ac:dyDescent="0.25">
      <c r="A52" s="14"/>
    </row>
    <row r="53" spans="1:1" x14ac:dyDescent="0.25">
      <c r="A53" s="14"/>
    </row>
    <row r="54" spans="1:1" x14ac:dyDescent="0.25">
      <c r="A54" s="14"/>
    </row>
    <row r="55" spans="1:1" x14ac:dyDescent="0.25">
      <c r="A55" s="14"/>
    </row>
    <row r="56" spans="1:1" x14ac:dyDescent="0.25">
      <c r="A56" s="14"/>
    </row>
    <row r="57" spans="1:1" x14ac:dyDescent="0.25">
      <c r="A57" s="14"/>
    </row>
    <row r="58" spans="1:1" x14ac:dyDescent="0.25">
      <c r="A58" s="14"/>
    </row>
    <row r="59" spans="1:1" x14ac:dyDescent="0.25">
      <c r="A59" s="14"/>
    </row>
    <row r="60" spans="1:1" x14ac:dyDescent="0.25">
      <c r="A60" s="14"/>
    </row>
    <row r="61" spans="1:1" x14ac:dyDescent="0.25">
      <c r="A61" s="14"/>
    </row>
    <row r="62" spans="1:1" x14ac:dyDescent="0.25">
      <c r="A62" s="14"/>
    </row>
    <row r="63" spans="1:1" x14ac:dyDescent="0.25">
      <c r="A63" s="14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6D94-A8C2-47A2-B789-5B18442A4134}">
  <dimension ref="A2:V98"/>
  <sheetViews>
    <sheetView topLeftCell="A49" zoomScale="115" zoomScaleNormal="115" workbookViewId="0">
      <selection activeCell="F91" sqref="F91:F98"/>
    </sheetView>
  </sheetViews>
  <sheetFormatPr defaultRowHeight="15" x14ac:dyDescent="0.25"/>
  <cols>
    <col min="1" max="1" width="13.28515625" bestFit="1" customWidth="1"/>
    <col min="4" max="4" width="12" bestFit="1" customWidth="1"/>
    <col min="6" max="6" width="12" bestFit="1" customWidth="1"/>
    <col min="8" max="8" width="26.140625" bestFit="1" customWidth="1"/>
  </cols>
  <sheetData>
    <row r="2" spans="1:22" x14ac:dyDescent="0.25">
      <c r="A2" t="s">
        <v>21</v>
      </c>
      <c r="B2" t="s">
        <v>22</v>
      </c>
      <c r="C2" t="s">
        <v>16</v>
      </c>
      <c r="D2" t="s">
        <v>39</v>
      </c>
      <c r="E2" t="s">
        <v>37</v>
      </c>
      <c r="F2" t="s">
        <v>38</v>
      </c>
    </row>
    <row r="3" spans="1:22" x14ac:dyDescent="0.25">
      <c r="A3" t="s">
        <v>40</v>
      </c>
      <c r="B3" t="s">
        <v>15</v>
      </c>
      <c r="C3" t="s">
        <v>17</v>
      </c>
      <c r="D3">
        <v>1.4000000000000001</v>
      </c>
      <c r="E3">
        <v>60.29666666666666</v>
      </c>
      <c r="F3">
        <v>78.163333333333341</v>
      </c>
      <c r="H3" t="str">
        <f>_xlfn.CONCAT(A3," ",B3," ",C3)</f>
        <v>0-0.5 SCC Caupi</v>
      </c>
      <c r="K3" t="s">
        <v>22</v>
      </c>
      <c r="L3" t="s">
        <v>16</v>
      </c>
      <c r="M3" t="s">
        <v>21</v>
      </c>
      <c r="N3" t="s">
        <v>24</v>
      </c>
      <c r="O3" t="s">
        <v>22</v>
      </c>
      <c r="P3" t="s">
        <v>16</v>
      </c>
      <c r="Q3" t="s">
        <v>21</v>
      </c>
      <c r="R3" t="s">
        <v>24</v>
      </c>
      <c r="S3" t="s">
        <v>22</v>
      </c>
      <c r="T3" t="s">
        <v>16</v>
      </c>
      <c r="U3" t="s">
        <v>21</v>
      </c>
      <c r="V3" t="s">
        <v>24</v>
      </c>
    </row>
    <row r="4" spans="1:22" x14ac:dyDescent="0.25">
      <c r="A4" t="s">
        <v>41</v>
      </c>
      <c r="B4" t="s">
        <v>15</v>
      </c>
      <c r="C4" t="s">
        <v>17</v>
      </c>
      <c r="D4">
        <v>1.4066666666666665</v>
      </c>
      <c r="E4">
        <v>62.626666666666665</v>
      </c>
      <c r="F4">
        <v>50.099999999999994</v>
      </c>
      <c r="H4" t="str">
        <f t="shared" ref="H4:H67" si="0">_xlfn.CONCAT(A4," ",B4," ",C4)</f>
        <v>0.5-0.10 SCC Caupi</v>
      </c>
      <c r="K4" t="s">
        <v>9</v>
      </c>
      <c r="L4" t="s">
        <v>17</v>
      </c>
      <c r="M4">
        <v>5</v>
      </c>
      <c r="O4" t="s">
        <v>9</v>
      </c>
      <c r="P4" t="s">
        <v>17</v>
      </c>
      <c r="Q4">
        <v>5</v>
      </c>
      <c r="S4" t="s">
        <v>15</v>
      </c>
      <c r="T4" t="s">
        <v>17</v>
      </c>
      <c r="U4">
        <v>5</v>
      </c>
    </row>
    <row r="5" spans="1:22" x14ac:dyDescent="0.25">
      <c r="A5" t="s">
        <v>42</v>
      </c>
      <c r="B5" t="s">
        <v>15</v>
      </c>
      <c r="C5" t="s">
        <v>17</v>
      </c>
      <c r="D5">
        <v>1.04</v>
      </c>
      <c r="E5">
        <v>51.673333333333339</v>
      </c>
      <c r="F5">
        <v>30.099999999999998</v>
      </c>
      <c r="H5" t="str">
        <f t="shared" si="0"/>
        <v>0.10-0.15 SCC Caupi</v>
      </c>
      <c r="K5" t="s">
        <v>9</v>
      </c>
      <c r="L5" t="s">
        <v>17</v>
      </c>
      <c r="M5">
        <v>10</v>
      </c>
      <c r="O5" t="s">
        <v>9</v>
      </c>
      <c r="P5" t="s">
        <v>17</v>
      </c>
      <c r="Q5">
        <v>10</v>
      </c>
      <c r="S5" t="s">
        <v>15</v>
      </c>
      <c r="T5" t="s">
        <v>17</v>
      </c>
      <c r="U5">
        <v>10</v>
      </c>
    </row>
    <row r="6" spans="1:22" x14ac:dyDescent="0.25">
      <c r="A6" t="s">
        <v>43</v>
      </c>
      <c r="B6" t="s">
        <v>15</v>
      </c>
      <c r="C6" t="s">
        <v>17</v>
      </c>
      <c r="D6">
        <v>0.73</v>
      </c>
      <c r="E6">
        <v>34.5</v>
      </c>
      <c r="F6">
        <v>19.733333333333334</v>
      </c>
      <c r="H6" t="str">
        <f t="shared" si="0"/>
        <v>0.15-0.20 SCC Caupi</v>
      </c>
      <c r="K6" t="s">
        <v>9</v>
      </c>
      <c r="L6" t="s">
        <v>17</v>
      </c>
      <c r="M6">
        <v>15</v>
      </c>
      <c r="O6" t="s">
        <v>9</v>
      </c>
      <c r="P6" t="s">
        <v>17</v>
      </c>
      <c r="Q6">
        <v>15</v>
      </c>
      <c r="S6" t="s">
        <v>15</v>
      </c>
      <c r="T6" t="s">
        <v>17</v>
      </c>
      <c r="U6">
        <v>15</v>
      </c>
    </row>
    <row r="7" spans="1:22" x14ac:dyDescent="0.25">
      <c r="A7" t="s">
        <v>44</v>
      </c>
      <c r="B7" t="s">
        <v>15</v>
      </c>
      <c r="C7" t="s">
        <v>17</v>
      </c>
      <c r="D7">
        <v>0.81333333333333335</v>
      </c>
      <c r="E7">
        <v>20.655186</v>
      </c>
      <c r="F7">
        <v>20.466666666666665</v>
      </c>
      <c r="H7" t="str">
        <f t="shared" si="0"/>
        <v>0.20-0.25 SCC Caupi</v>
      </c>
      <c r="K7" t="s">
        <v>9</v>
      </c>
      <c r="L7" t="s">
        <v>17</v>
      </c>
      <c r="M7">
        <v>20</v>
      </c>
      <c r="O7" t="s">
        <v>9</v>
      </c>
      <c r="P7" t="s">
        <v>17</v>
      </c>
      <c r="Q7">
        <v>20</v>
      </c>
      <c r="S7" t="s">
        <v>15</v>
      </c>
      <c r="T7" t="s">
        <v>17</v>
      </c>
      <c r="U7">
        <v>20</v>
      </c>
    </row>
    <row r="8" spans="1:22" x14ac:dyDescent="0.25">
      <c r="A8" t="s">
        <v>45</v>
      </c>
      <c r="B8" t="s">
        <v>15</v>
      </c>
      <c r="C8" t="s">
        <v>17</v>
      </c>
      <c r="D8">
        <v>0.70333333333333325</v>
      </c>
      <c r="E8">
        <v>11.760960000000003</v>
      </c>
      <c r="F8">
        <v>28.566666666666663</v>
      </c>
      <c r="H8" t="str">
        <f t="shared" si="0"/>
        <v>0.25-0.30 SCC Caupi</v>
      </c>
      <c r="K8" t="s">
        <v>9</v>
      </c>
      <c r="L8" t="s">
        <v>17</v>
      </c>
      <c r="M8">
        <v>25</v>
      </c>
      <c r="O8" t="s">
        <v>9</v>
      </c>
      <c r="P8" t="s">
        <v>17</v>
      </c>
      <c r="Q8">
        <v>25</v>
      </c>
      <c r="S8" t="s">
        <v>15</v>
      </c>
      <c r="T8" t="s">
        <v>17</v>
      </c>
      <c r="U8">
        <v>25</v>
      </c>
    </row>
    <row r="9" spans="1:22" x14ac:dyDescent="0.25">
      <c r="A9" t="s">
        <v>46</v>
      </c>
      <c r="B9" t="s">
        <v>15</v>
      </c>
      <c r="C9" t="s">
        <v>17</v>
      </c>
      <c r="D9">
        <v>0.70333333333333325</v>
      </c>
      <c r="E9">
        <v>5.7334679999999993</v>
      </c>
      <c r="F9">
        <v>31.733333333333331</v>
      </c>
      <c r="H9" t="str">
        <f t="shared" si="0"/>
        <v>0.30-0.35 SCC Caupi</v>
      </c>
      <c r="K9" t="s">
        <v>9</v>
      </c>
      <c r="L9" t="s">
        <v>17</v>
      </c>
      <c r="M9">
        <v>30</v>
      </c>
      <c r="O9" t="s">
        <v>9</v>
      </c>
      <c r="P9" t="s">
        <v>17</v>
      </c>
      <c r="Q9">
        <v>30</v>
      </c>
      <c r="S9" t="s">
        <v>15</v>
      </c>
      <c r="T9" t="s">
        <v>17</v>
      </c>
      <c r="U9">
        <v>30</v>
      </c>
    </row>
    <row r="10" spans="1:22" x14ac:dyDescent="0.25">
      <c r="A10" t="s">
        <v>47</v>
      </c>
      <c r="B10" t="s">
        <v>15</v>
      </c>
      <c r="C10" t="s">
        <v>17</v>
      </c>
      <c r="D10">
        <v>0.72000000000000008</v>
      </c>
      <c r="E10">
        <v>5.3414360000000007</v>
      </c>
      <c r="F10">
        <v>31.599999999999998</v>
      </c>
      <c r="H10" t="str">
        <f t="shared" si="0"/>
        <v>0.35-0.40 SCC Caupi</v>
      </c>
      <c r="K10" t="s">
        <v>9</v>
      </c>
      <c r="L10" t="s">
        <v>17</v>
      </c>
      <c r="M10">
        <v>35</v>
      </c>
      <c r="O10" t="s">
        <v>9</v>
      </c>
      <c r="P10" t="s">
        <v>17</v>
      </c>
      <c r="Q10">
        <v>35</v>
      </c>
      <c r="S10" t="s">
        <v>15</v>
      </c>
      <c r="T10" t="s">
        <v>17</v>
      </c>
      <c r="U10">
        <v>35</v>
      </c>
    </row>
    <row r="11" spans="1:22" x14ac:dyDescent="0.25">
      <c r="A11" t="s">
        <v>40</v>
      </c>
      <c r="B11" t="s">
        <v>14</v>
      </c>
      <c r="C11" t="s">
        <v>17</v>
      </c>
      <c r="D11">
        <v>1.3533333333333333</v>
      </c>
      <c r="E11">
        <v>66.473333333333343</v>
      </c>
      <c r="F11">
        <v>121.23333333333333</v>
      </c>
      <c r="H11" t="str">
        <f t="shared" si="0"/>
        <v>0-0.5 SCM Caupi</v>
      </c>
      <c r="K11" t="s">
        <v>9</v>
      </c>
      <c r="L11" t="s">
        <v>17</v>
      </c>
      <c r="M11">
        <v>40</v>
      </c>
      <c r="O11" t="s">
        <v>9</v>
      </c>
      <c r="P11" t="s">
        <v>17</v>
      </c>
      <c r="Q11">
        <v>40</v>
      </c>
      <c r="S11" t="s">
        <v>15</v>
      </c>
      <c r="T11" t="s">
        <v>17</v>
      </c>
      <c r="U11">
        <v>40</v>
      </c>
    </row>
    <row r="12" spans="1:22" x14ac:dyDescent="0.25">
      <c r="A12" t="s">
        <v>41</v>
      </c>
      <c r="B12" t="s">
        <v>14</v>
      </c>
      <c r="C12" t="s">
        <v>17</v>
      </c>
      <c r="D12">
        <v>0.96666666666666667</v>
      </c>
      <c r="E12">
        <v>47.29</v>
      </c>
      <c r="F12">
        <v>59.199999999999996</v>
      </c>
      <c r="H12" t="str">
        <f t="shared" si="0"/>
        <v>0.5-0.10 SCM Caupi</v>
      </c>
      <c r="K12" t="s">
        <v>9</v>
      </c>
      <c r="L12" t="s">
        <v>18</v>
      </c>
      <c r="M12">
        <v>5</v>
      </c>
      <c r="O12" t="s">
        <v>9</v>
      </c>
      <c r="P12" t="s">
        <v>18</v>
      </c>
      <c r="Q12">
        <v>5</v>
      </c>
      <c r="S12" t="s">
        <v>15</v>
      </c>
      <c r="T12" t="s">
        <v>18</v>
      </c>
      <c r="U12">
        <v>5</v>
      </c>
    </row>
    <row r="13" spans="1:22" x14ac:dyDescent="0.25">
      <c r="A13" t="s">
        <v>42</v>
      </c>
      <c r="B13" t="s">
        <v>14</v>
      </c>
      <c r="C13" t="s">
        <v>17</v>
      </c>
      <c r="D13">
        <v>0.44333333333333336</v>
      </c>
      <c r="E13">
        <v>44.223333333333329</v>
      </c>
      <c r="F13">
        <v>39</v>
      </c>
      <c r="H13" t="str">
        <f t="shared" si="0"/>
        <v>0.10-0.15 SCM Caupi</v>
      </c>
      <c r="K13" t="s">
        <v>9</v>
      </c>
      <c r="L13" t="s">
        <v>18</v>
      </c>
      <c r="M13">
        <v>10</v>
      </c>
      <c r="O13" t="s">
        <v>9</v>
      </c>
      <c r="P13" t="s">
        <v>18</v>
      </c>
      <c r="Q13">
        <v>10</v>
      </c>
      <c r="S13" t="s">
        <v>15</v>
      </c>
      <c r="T13" t="s">
        <v>18</v>
      </c>
      <c r="U13">
        <v>10</v>
      </c>
    </row>
    <row r="14" spans="1:22" x14ac:dyDescent="0.25">
      <c r="A14" t="s">
        <v>43</v>
      </c>
      <c r="B14" t="s">
        <v>14</v>
      </c>
      <c r="C14" t="s">
        <v>17</v>
      </c>
      <c r="D14">
        <v>0.39666666666666667</v>
      </c>
      <c r="E14">
        <v>38.053333333333335</v>
      </c>
      <c r="F14">
        <v>39</v>
      </c>
      <c r="H14" t="str">
        <f t="shared" si="0"/>
        <v>0.15-0.20 SCM Caupi</v>
      </c>
      <c r="K14" t="s">
        <v>9</v>
      </c>
      <c r="L14" t="s">
        <v>18</v>
      </c>
      <c r="M14">
        <v>15</v>
      </c>
      <c r="O14" t="s">
        <v>9</v>
      </c>
      <c r="P14" t="s">
        <v>18</v>
      </c>
      <c r="Q14">
        <v>15</v>
      </c>
      <c r="S14" t="s">
        <v>15</v>
      </c>
      <c r="T14" t="s">
        <v>18</v>
      </c>
      <c r="U14">
        <v>15</v>
      </c>
    </row>
    <row r="15" spans="1:22" x14ac:dyDescent="0.25">
      <c r="A15" t="s">
        <v>44</v>
      </c>
      <c r="B15" t="s">
        <v>14</v>
      </c>
      <c r="C15" t="s">
        <v>17</v>
      </c>
      <c r="D15">
        <v>0.43</v>
      </c>
      <c r="E15">
        <v>28.961364</v>
      </c>
      <c r="F15">
        <v>41.933333333333337</v>
      </c>
      <c r="H15" t="str">
        <f t="shared" si="0"/>
        <v>0.20-0.25 SCM Caupi</v>
      </c>
      <c r="K15" t="s">
        <v>9</v>
      </c>
      <c r="L15" t="s">
        <v>18</v>
      </c>
      <c r="M15">
        <v>20</v>
      </c>
      <c r="O15" t="s">
        <v>9</v>
      </c>
      <c r="P15" t="s">
        <v>18</v>
      </c>
      <c r="Q15">
        <v>20</v>
      </c>
      <c r="S15" t="s">
        <v>15</v>
      </c>
      <c r="T15" t="s">
        <v>18</v>
      </c>
      <c r="U15">
        <v>20</v>
      </c>
    </row>
    <row r="16" spans="1:22" x14ac:dyDescent="0.25">
      <c r="A16" t="s">
        <v>45</v>
      </c>
      <c r="B16" t="s">
        <v>14</v>
      </c>
      <c r="C16" t="s">
        <v>17</v>
      </c>
      <c r="D16">
        <v>0.38999999999999996</v>
      </c>
      <c r="E16">
        <v>37.635072000000001</v>
      </c>
      <c r="F16">
        <v>46.133333333333333</v>
      </c>
      <c r="H16" t="str">
        <f t="shared" si="0"/>
        <v>0.25-0.30 SCM Caupi</v>
      </c>
      <c r="K16" t="s">
        <v>9</v>
      </c>
      <c r="L16" t="s">
        <v>18</v>
      </c>
      <c r="M16">
        <v>25</v>
      </c>
      <c r="O16" t="s">
        <v>9</v>
      </c>
      <c r="P16" t="s">
        <v>18</v>
      </c>
      <c r="Q16">
        <v>25</v>
      </c>
      <c r="S16" t="s">
        <v>15</v>
      </c>
      <c r="T16" t="s">
        <v>18</v>
      </c>
      <c r="U16">
        <v>25</v>
      </c>
    </row>
    <row r="17" spans="1:21" x14ac:dyDescent="0.25">
      <c r="A17" t="s">
        <v>46</v>
      </c>
      <c r="B17" t="s">
        <v>14</v>
      </c>
      <c r="C17" t="s">
        <v>17</v>
      </c>
      <c r="D17">
        <v>0.49000000000000005</v>
      </c>
      <c r="E17">
        <v>34.719334000000003</v>
      </c>
      <c r="F17">
        <v>45.366666666666653</v>
      </c>
      <c r="H17" t="str">
        <f t="shared" si="0"/>
        <v>0.30-0.35 SCM Caupi</v>
      </c>
      <c r="K17" t="s">
        <v>9</v>
      </c>
      <c r="L17" t="s">
        <v>18</v>
      </c>
      <c r="M17">
        <v>30</v>
      </c>
      <c r="O17" t="s">
        <v>9</v>
      </c>
      <c r="P17" t="s">
        <v>18</v>
      </c>
      <c r="Q17">
        <v>30</v>
      </c>
      <c r="S17" t="s">
        <v>15</v>
      </c>
      <c r="T17" t="s">
        <v>18</v>
      </c>
      <c r="U17">
        <v>30</v>
      </c>
    </row>
    <row r="18" spans="1:21" x14ac:dyDescent="0.25">
      <c r="A18" t="s">
        <v>47</v>
      </c>
      <c r="B18" t="s">
        <v>14</v>
      </c>
      <c r="C18" t="s">
        <v>17</v>
      </c>
      <c r="D18">
        <v>0.38999999999999996</v>
      </c>
      <c r="E18">
        <v>39.227702000000001</v>
      </c>
      <c r="F18">
        <v>44.866666666666667</v>
      </c>
      <c r="H18" t="str">
        <f t="shared" si="0"/>
        <v>0.35-0.40 SCM Caupi</v>
      </c>
      <c r="K18" t="s">
        <v>9</v>
      </c>
      <c r="L18" t="s">
        <v>18</v>
      </c>
      <c r="M18">
        <v>35</v>
      </c>
      <c r="O18" t="s">
        <v>9</v>
      </c>
      <c r="P18" t="s">
        <v>18</v>
      </c>
      <c r="Q18">
        <v>35</v>
      </c>
      <c r="S18" t="s">
        <v>15</v>
      </c>
      <c r="T18" t="s">
        <v>18</v>
      </c>
      <c r="U18">
        <v>35</v>
      </c>
    </row>
    <row r="19" spans="1:21" x14ac:dyDescent="0.25">
      <c r="A19" t="s">
        <v>40</v>
      </c>
      <c r="B19" t="s">
        <v>9</v>
      </c>
      <c r="C19" t="s">
        <v>17</v>
      </c>
      <c r="D19">
        <v>0.87</v>
      </c>
      <c r="E19">
        <v>63.629999999999995</v>
      </c>
      <c r="F19">
        <v>83.166666666666671</v>
      </c>
      <c r="H19" t="str">
        <f t="shared" si="0"/>
        <v>0-0.5 SPD Caupi</v>
      </c>
      <c r="K19" t="s">
        <v>9</v>
      </c>
      <c r="L19" t="s">
        <v>18</v>
      </c>
      <c r="M19">
        <v>40</v>
      </c>
      <c r="O19" t="s">
        <v>9</v>
      </c>
      <c r="P19" t="s">
        <v>18</v>
      </c>
      <c r="Q19">
        <v>40</v>
      </c>
      <c r="S19" t="s">
        <v>15</v>
      </c>
      <c r="T19" t="s">
        <v>18</v>
      </c>
      <c r="U19">
        <v>40</v>
      </c>
    </row>
    <row r="20" spans="1:21" x14ac:dyDescent="0.25">
      <c r="A20" t="s">
        <v>41</v>
      </c>
      <c r="B20" t="s">
        <v>9</v>
      </c>
      <c r="C20" t="s">
        <v>17</v>
      </c>
      <c r="D20">
        <v>0.61333333333333329</v>
      </c>
      <c r="E20">
        <v>51.28</v>
      </c>
      <c r="F20">
        <v>36.466666666666669</v>
      </c>
      <c r="H20" t="str">
        <f t="shared" si="0"/>
        <v>0.5-0.10 SPD Caupi</v>
      </c>
      <c r="K20" t="s">
        <v>9</v>
      </c>
      <c r="L20" t="s">
        <v>19</v>
      </c>
      <c r="M20">
        <v>5</v>
      </c>
      <c r="O20" t="s">
        <v>9</v>
      </c>
      <c r="P20" t="s">
        <v>19</v>
      </c>
      <c r="Q20">
        <v>5</v>
      </c>
      <c r="S20" t="s">
        <v>15</v>
      </c>
      <c r="T20" t="s">
        <v>19</v>
      </c>
      <c r="U20">
        <v>5</v>
      </c>
    </row>
    <row r="21" spans="1:21" x14ac:dyDescent="0.25">
      <c r="A21" t="s">
        <v>42</v>
      </c>
      <c r="B21" t="s">
        <v>9</v>
      </c>
      <c r="C21" t="s">
        <v>17</v>
      </c>
      <c r="D21">
        <v>0.58333333333333337</v>
      </c>
      <c r="E21">
        <v>47.146666666666668</v>
      </c>
      <c r="F21">
        <v>27.466666666666665</v>
      </c>
      <c r="H21" t="str">
        <f t="shared" si="0"/>
        <v>0.10-0.15 SPD Caupi</v>
      </c>
      <c r="K21" t="s">
        <v>9</v>
      </c>
      <c r="L21" t="s">
        <v>19</v>
      </c>
      <c r="M21">
        <v>10</v>
      </c>
      <c r="O21" t="s">
        <v>9</v>
      </c>
      <c r="P21" t="s">
        <v>19</v>
      </c>
      <c r="Q21">
        <v>10</v>
      </c>
      <c r="S21" t="s">
        <v>15</v>
      </c>
      <c r="T21" t="s">
        <v>19</v>
      </c>
      <c r="U21">
        <v>10</v>
      </c>
    </row>
    <row r="22" spans="1:21" x14ac:dyDescent="0.25">
      <c r="A22" t="s">
        <v>43</v>
      </c>
      <c r="B22" t="s">
        <v>9</v>
      </c>
      <c r="C22" t="s">
        <v>17</v>
      </c>
      <c r="D22">
        <v>0.55333333333333334</v>
      </c>
      <c r="E22">
        <v>56.160000000000004</v>
      </c>
      <c r="F22">
        <v>28.633333333333336</v>
      </c>
      <c r="H22" t="str">
        <f t="shared" si="0"/>
        <v>0.15-0.20 SPD Caupi</v>
      </c>
      <c r="K22" t="s">
        <v>9</v>
      </c>
      <c r="L22" t="s">
        <v>19</v>
      </c>
      <c r="M22">
        <v>15</v>
      </c>
      <c r="O22" t="s">
        <v>9</v>
      </c>
      <c r="P22" t="s">
        <v>19</v>
      </c>
      <c r="Q22">
        <v>15</v>
      </c>
      <c r="S22" t="s">
        <v>15</v>
      </c>
      <c r="T22" t="s">
        <v>19</v>
      </c>
      <c r="U22">
        <v>15</v>
      </c>
    </row>
    <row r="23" spans="1:21" x14ac:dyDescent="0.25">
      <c r="A23" t="s">
        <v>44</v>
      </c>
      <c r="B23" t="s">
        <v>9</v>
      </c>
      <c r="C23" t="s">
        <v>17</v>
      </c>
      <c r="D23">
        <v>0.48</v>
      </c>
      <c r="E23">
        <v>76.288550000000001</v>
      </c>
      <c r="F23">
        <v>28.375</v>
      </c>
      <c r="H23" t="str">
        <f t="shared" si="0"/>
        <v>0.20-0.25 SPD Caupi</v>
      </c>
      <c r="K23" t="s">
        <v>9</v>
      </c>
      <c r="L23" t="s">
        <v>19</v>
      </c>
      <c r="M23">
        <v>20</v>
      </c>
      <c r="O23" t="s">
        <v>9</v>
      </c>
      <c r="P23" t="s">
        <v>19</v>
      </c>
      <c r="Q23">
        <v>20</v>
      </c>
      <c r="S23" t="s">
        <v>15</v>
      </c>
      <c r="T23" t="s">
        <v>19</v>
      </c>
      <c r="U23">
        <v>20</v>
      </c>
    </row>
    <row r="24" spans="1:21" x14ac:dyDescent="0.25">
      <c r="A24" t="s">
        <v>45</v>
      </c>
      <c r="B24" t="s">
        <v>9</v>
      </c>
      <c r="C24" t="s">
        <v>17</v>
      </c>
      <c r="D24">
        <v>0.47333333333333333</v>
      </c>
      <c r="E24">
        <v>70.590649999999997</v>
      </c>
      <c r="F24">
        <v>22.966666666666665</v>
      </c>
      <c r="H24" t="str">
        <f t="shared" si="0"/>
        <v>0.25-0.30 SPD Caupi</v>
      </c>
      <c r="K24" t="s">
        <v>9</v>
      </c>
      <c r="L24" t="s">
        <v>19</v>
      </c>
      <c r="M24">
        <v>25</v>
      </c>
      <c r="O24" t="s">
        <v>9</v>
      </c>
      <c r="P24" t="s">
        <v>19</v>
      </c>
      <c r="Q24">
        <v>25</v>
      </c>
      <c r="S24" t="s">
        <v>15</v>
      </c>
      <c r="T24" t="s">
        <v>19</v>
      </c>
      <c r="U24">
        <v>25</v>
      </c>
    </row>
    <row r="25" spans="1:21" x14ac:dyDescent="0.25">
      <c r="A25" t="s">
        <v>46</v>
      </c>
      <c r="B25" t="s">
        <v>9</v>
      </c>
      <c r="C25" t="s">
        <v>17</v>
      </c>
      <c r="D25">
        <v>0.27333333333333337</v>
      </c>
      <c r="E25">
        <v>61.727250000000005</v>
      </c>
      <c r="F25">
        <v>25.100000000000005</v>
      </c>
      <c r="H25" t="str">
        <f t="shared" si="0"/>
        <v>0.30-0.35 SPD Caupi</v>
      </c>
      <c r="K25" t="s">
        <v>9</v>
      </c>
      <c r="L25" t="s">
        <v>19</v>
      </c>
      <c r="M25">
        <v>30</v>
      </c>
      <c r="O25" t="s">
        <v>9</v>
      </c>
      <c r="P25" t="s">
        <v>19</v>
      </c>
      <c r="Q25">
        <v>30</v>
      </c>
      <c r="S25" t="s">
        <v>15</v>
      </c>
      <c r="T25" t="s">
        <v>19</v>
      </c>
      <c r="U25">
        <v>30</v>
      </c>
    </row>
    <row r="26" spans="1:21" x14ac:dyDescent="0.25">
      <c r="A26" t="s">
        <v>47</v>
      </c>
      <c r="B26" t="s">
        <v>9</v>
      </c>
      <c r="C26" t="s">
        <v>17</v>
      </c>
      <c r="D26">
        <v>0.3066666666666667</v>
      </c>
      <c r="E26">
        <v>67.425149999999988</v>
      </c>
      <c r="F26">
        <v>25.833333333333332</v>
      </c>
      <c r="H26" t="str">
        <f t="shared" si="0"/>
        <v>0.35-0.40 SPD Caupi</v>
      </c>
      <c r="K26" t="s">
        <v>9</v>
      </c>
      <c r="L26" t="s">
        <v>19</v>
      </c>
      <c r="M26">
        <v>35</v>
      </c>
      <c r="O26" t="s">
        <v>9</v>
      </c>
      <c r="P26" t="s">
        <v>19</v>
      </c>
      <c r="Q26">
        <v>35</v>
      </c>
      <c r="S26" t="s">
        <v>15</v>
      </c>
      <c r="T26" t="s">
        <v>19</v>
      </c>
      <c r="U26">
        <v>35</v>
      </c>
    </row>
    <row r="27" spans="1:21" x14ac:dyDescent="0.25">
      <c r="A27" t="s">
        <v>40</v>
      </c>
      <c r="B27" t="s">
        <v>15</v>
      </c>
      <c r="C27" t="s">
        <v>18</v>
      </c>
      <c r="D27">
        <v>1.4000000000000001</v>
      </c>
      <c r="E27">
        <v>52.556666666666665</v>
      </c>
      <c r="F27">
        <v>112.8</v>
      </c>
      <c r="H27" t="str">
        <f t="shared" si="0"/>
        <v>0-0.5 SCC Crotalária</v>
      </c>
      <c r="K27" t="s">
        <v>9</v>
      </c>
      <c r="L27" t="s">
        <v>19</v>
      </c>
      <c r="M27">
        <v>40</v>
      </c>
      <c r="O27" t="s">
        <v>9</v>
      </c>
      <c r="P27" t="s">
        <v>19</v>
      </c>
      <c r="Q27">
        <v>40</v>
      </c>
      <c r="S27" t="s">
        <v>15</v>
      </c>
      <c r="T27" t="s">
        <v>19</v>
      </c>
      <c r="U27">
        <v>40</v>
      </c>
    </row>
    <row r="28" spans="1:21" x14ac:dyDescent="0.25">
      <c r="A28" t="s">
        <v>41</v>
      </c>
      <c r="B28" t="s">
        <v>15</v>
      </c>
      <c r="C28" t="s">
        <v>18</v>
      </c>
      <c r="D28">
        <v>1.3533333333333333</v>
      </c>
      <c r="E28">
        <v>38.15</v>
      </c>
      <c r="F28">
        <v>63.199999999999996</v>
      </c>
      <c r="H28" t="str">
        <f t="shared" si="0"/>
        <v>0.5-0.10 SCC Crotalária</v>
      </c>
      <c r="K28" t="s">
        <v>9</v>
      </c>
      <c r="L28" t="s">
        <v>20</v>
      </c>
      <c r="M28">
        <v>5</v>
      </c>
      <c r="O28" t="s">
        <v>9</v>
      </c>
      <c r="P28" t="s">
        <v>20</v>
      </c>
      <c r="Q28">
        <v>5</v>
      </c>
      <c r="S28" t="s">
        <v>15</v>
      </c>
      <c r="T28" t="s">
        <v>20</v>
      </c>
      <c r="U28">
        <v>5</v>
      </c>
    </row>
    <row r="29" spans="1:21" x14ac:dyDescent="0.25">
      <c r="A29" t="s">
        <v>42</v>
      </c>
      <c r="B29" t="s">
        <v>15</v>
      </c>
      <c r="C29" t="s">
        <v>18</v>
      </c>
      <c r="D29">
        <v>1.3333333333333333</v>
      </c>
      <c r="E29">
        <v>42.29</v>
      </c>
      <c r="F29">
        <v>39.300000000000004</v>
      </c>
      <c r="H29" t="str">
        <f t="shared" si="0"/>
        <v>0.10-0.15 SCC Crotalária</v>
      </c>
      <c r="K29" t="s">
        <v>9</v>
      </c>
      <c r="L29" t="s">
        <v>20</v>
      </c>
      <c r="M29">
        <v>10</v>
      </c>
      <c r="O29" t="s">
        <v>9</v>
      </c>
      <c r="P29" t="s">
        <v>20</v>
      </c>
      <c r="Q29">
        <v>10</v>
      </c>
      <c r="S29" t="s">
        <v>15</v>
      </c>
      <c r="T29" t="s">
        <v>20</v>
      </c>
      <c r="U29">
        <v>10</v>
      </c>
    </row>
    <row r="30" spans="1:21" x14ac:dyDescent="0.25">
      <c r="A30" t="s">
        <v>43</v>
      </c>
      <c r="B30" t="s">
        <v>15</v>
      </c>
      <c r="C30" t="s">
        <v>18</v>
      </c>
      <c r="D30">
        <v>1</v>
      </c>
      <c r="E30">
        <v>30.77333333333333</v>
      </c>
      <c r="F30">
        <v>21.633333333333336</v>
      </c>
      <c r="H30" t="str">
        <f t="shared" si="0"/>
        <v>0.15-0.20 SCC Crotalária</v>
      </c>
      <c r="K30" t="s">
        <v>9</v>
      </c>
      <c r="L30" t="s">
        <v>20</v>
      </c>
      <c r="M30">
        <v>15</v>
      </c>
      <c r="O30" t="s">
        <v>9</v>
      </c>
      <c r="P30" t="s">
        <v>20</v>
      </c>
      <c r="Q30">
        <v>15</v>
      </c>
      <c r="S30" t="s">
        <v>15</v>
      </c>
      <c r="T30" t="s">
        <v>20</v>
      </c>
      <c r="U30">
        <v>15</v>
      </c>
    </row>
    <row r="31" spans="1:21" x14ac:dyDescent="0.25">
      <c r="A31" t="s">
        <v>44</v>
      </c>
      <c r="B31" t="s">
        <v>15</v>
      </c>
      <c r="C31" t="s">
        <v>18</v>
      </c>
      <c r="D31">
        <v>0.85</v>
      </c>
      <c r="E31">
        <v>23.962956000000002</v>
      </c>
      <c r="F31">
        <v>17.8</v>
      </c>
      <c r="H31" t="str">
        <f t="shared" si="0"/>
        <v>0.20-0.25 SCC Crotalária</v>
      </c>
      <c r="K31" t="s">
        <v>9</v>
      </c>
      <c r="L31" t="s">
        <v>20</v>
      </c>
      <c r="M31">
        <v>20</v>
      </c>
      <c r="O31" t="s">
        <v>9</v>
      </c>
      <c r="P31" t="s">
        <v>20</v>
      </c>
      <c r="Q31">
        <v>20</v>
      </c>
      <c r="S31" t="s">
        <v>15</v>
      </c>
      <c r="T31" t="s">
        <v>20</v>
      </c>
      <c r="U31">
        <v>20</v>
      </c>
    </row>
    <row r="32" spans="1:21" x14ac:dyDescent="0.25">
      <c r="A32" t="s">
        <v>45</v>
      </c>
      <c r="B32" t="s">
        <v>15</v>
      </c>
      <c r="C32" t="s">
        <v>18</v>
      </c>
      <c r="D32">
        <v>0.67333333333333334</v>
      </c>
      <c r="E32">
        <v>19.381081999999999</v>
      </c>
      <c r="F32">
        <v>21.933333333333334</v>
      </c>
      <c r="H32" t="str">
        <f t="shared" si="0"/>
        <v>0.25-0.30 SCC Crotalária</v>
      </c>
      <c r="K32" t="s">
        <v>9</v>
      </c>
      <c r="L32" t="s">
        <v>20</v>
      </c>
      <c r="M32">
        <v>25</v>
      </c>
      <c r="O32" t="s">
        <v>9</v>
      </c>
      <c r="P32" t="s">
        <v>20</v>
      </c>
      <c r="Q32">
        <v>25</v>
      </c>
      <c r="S32" t="s">
        <v>15</v>
      </c>
      <c r="T32" t="s">
        <v>20</v>
      </c>
      <c r="U32">
        <v>25</v>
      </c>
    </row>
    <row r="33" spans="1:21" x14ac:dyDescent="0.25">
      <c r="A33" t="s">
        <v>46</v>
      </c>
      <c r="B33" t="s">
        <v>15</v>
      </c>
      <c r="C33" t="s">
        <v>18</v>
      </c>
      <c r="D33">
        <v>0.59</v>
      </c>
      <c r="E33">
        <v>19.209568000000001</v>
      </c>
      <c r="F33">
        <v>24.066666666666666</v>
      </c>
      <c r="H33" t="str">
        <f t="shared" si="0"/>
        <v>0.30-0.35 SCC Crotalária</v>
      </c>
      <c r="K33" t="s">
        <v>9</v>
      </c>
      <c r="L33" t="s">
        <v>20</v>
      </c>
      <c r="M33">
        <v>30</v>
      </c>
      <c r="O33" t="s">
        <v>9</v>
      </c>
      <c r="P33" t="s">
        <v>20</v>
      </c>
      <c r="Q33">
        <v>30</v>
      </c>
      <c r="S33" t="s">
        <v>15</v>
      </c>
      <c r="T33" t="s">
        <v>20</v>
      </c>
      <c r="U33">
        <v>30</v>
      </c>
    </row>
    <row r="34" spans="1:21" x14ac:dyDescent="0.25">
      <c r="A34" t="s">
        <v>47</v>
      </c>
      <c r="B34" t="s">
        <v>15</v>
      </c>
      <c r="C34" t="s">
        <v>18</v>
      </c>
      <c r="D34">
        <v>0.5033333333333333</v>
      </c>
      <c r="E34">
        <v>11.540441999999999</v>
      </c>
      <c r="F34">
        <v>25.733333333333334</v>
      </c>
      <c r="H34" t="str">
        <f t="shared" si="0"/>
        <v>0.35-0.40 SCC Crotalária</v>
      </c>
      <c r="K34" t="s">
        <v>9</v>
      </c>
      <c r="L34" t="s">
        <v>20</v>
      </c>
      <c r="M34">
        <v>35</v>
      </c>
      <c r="O34" t="s">
        <v>9</v>
      </c>
      <c r="P34" t="s">
        <v>20</v>
      </c>
      <c r="Q34">
        <v>35</v>
      </c>
      <c r="S34" t="s">
        <v>15</v>
      </c>
      <c r="T34" t="s">
        <v>20</v>
      </c>
      <c r="U34">
        <v>35</v>
      </c>
    </row>
    <row r="35" spans="1:21" x14ac:dyDescent="0.25">
      <c r="A35" t="s">
        <v>40</v>
      </c>
      <c r="B35" t="s">
        <v>14</v>
      </c>
      <c r="C35" t="s">
        <v>18</v>
      </c>
      <c r="D35">
        <v>1.5333333333333332</v>
      </c>
      <c r="E35">
        <v>45.403333333333336</v>
      </c>
      <c r="F35">
        <v>129.86666666666667</v>
      </c>
      <c r="H35" t="str">
        <f t="shared" si="0"/>
        <v>0-0.5 SCM Crotalária</v>
      </c>
      <c r="K35" t="s">
        <v>9</v>
      </c>
      <c r="L35" t="s">
        <v>20</v>
      </c>
      <c r="M35">
        <v>40</v>
      </c>
      <c r="O35" t="s">
        <v>9</v>
      </c>
      <c r="P35" t="s">
        <v>20</v>
      </c>
      <c r="Q35">
        <v>40</v>
      </c>
      <c r="S35" t="s">
        <v>15</v>
      </c>
      <c r="T35" t="s">
        <v>20</v>
      </c>
      <c r="U35">
        <v>40</v>
      </c>
    </row>
    <row r="36" spans="1:21" x14ac:dyDescent="0.25">
      <c r="A36" t="s">
        <v>41</v>
      </c>
      <c r="B36" t="s">
        <v>14</v>
      </c>
      <c r="C36" t="s">
        <v>18</v>
      </c>
      <c r="D36">
        <v>1.1166666666666667</v>
      </c>
      <c r="E36">
        <v>34.67</v>
      </c>
      <c r="F36">
        <v>95.86666666666666</v>
      </c>
      <c r="H36" t="str">
        <f t="shared" si="0"/>
        <v>0.5-0.10 SCM Crotalária</v>
      </c>
    </row>
    <row r="37" spans="1:21" x14ac:dyDescent="0.25">
      <c r="A37" t="s">
        <v>42</v>
      </c>
      <c r="B37" t="s">
        <v>14</v>
      </c>
      <c r="C37" t="s">
        <v>18</v>
      </c>
      <c r="D37">
        <v>0.65333333333333332</v>
      </c>
      <c r="E37">
        <v>50.316666666666663</v>
      </c>
      <c r="F37">
        <v>36.266666666666666</v>
      </c>
      <c r="H37" t="str">
        <f t="shared" si="0"/>
        <v>0.10-0.15 SCM Crotalária</v>
      </c>
    </row>
    <row r="38" spans="1:21" x14ac:dyDescent="0.25">
      <c r="A38" t="s">
        <v>43</v>
      </c>
      <c r="B38" t="s">
        <v>14</v>
      </c>
      <c r="C38" t="s">
        <v>18</v>
      </c>
      <c r="D38">
        <v>0.51</v>
      </c>
      <c r="E38">
        <v>37.39</v>
      </c>
      <c r="F38">
        <v>26.97</v>
      </c>
      <c r="H38" t="str">
        <f t="shared" si="0"/>
        <v>0.15-0.20 SCM Crotalária</v>
      </c>
    </row>
    <row r="39" spans="1:21" x14ac:dyDescent="0.25">
      <c r="A39" t="s">
        <v>44</v>
      </c>
      <c r="B39" t="s">
        <v>14</v>
      </c>
      <c r="C39" t="s">
        <v>18</v>
      </c>
      <c r="D39">
        <v>0.58333333333333337</v>
      </c>
      <c r="E39">
        <v>33.587474</v>
      </c>
      <c r="F39">
        <v>34.300000000000004</v>
      </c>
      <c r="H39" t="str">
        <f t="shared" si="0"/>
        <v>0.20-0.25 SCM Crotalária</v>
      </c>
    </row>
    <row r="40" spans="1:21" x14ac:dyDescent="0.25">
      <c r="A40" t="s">
        <v>45</v>
      </c>
      <c r="B40" t="s">
        <v>14</v>
      </c>
      <c r="C40" t="s">
        <v>18</v>
      </c>
      <c r="D40">
        <v>0.60333333333333339</v>
      </c>
      <c r="E40">
        <v>35.253610000000002</v>
      </c>
      <c r="F40">
        <v>35.1</v>
      </c>
      <c r="H40" t="str">
        <f t="shared" si="0"/>
        <v>0.25-0.30 SCM Crotalária</v>
      </c>
    </row>
    <row r="41" spans="1:21" x14ac:dyDescent="0.25">
      <c r="A41" t="s">
        <v>46</v>
      </c>
      <c r="B41" t="s">
        <v>14</v>
      </c>
      <c r="C41" t="s">
        <v>18</v>
      </c>
      <c r="D41">
        <v>0.46666666666666662</v>
      </c>
      <c r="E41">
        <v>11.572110666666665</v>
      </c>
      <c r="F41">
        <v>32.566666666666663</v>
      </c>
      <c r="H41" t="str">
        <f t="shared" si="0"/>
        <v>0.30-0.35 SCM Crotalária</v>
      </c>
    </row>
    <row r="42" spans="1:21" x14ac:dyDescent="0.25">
      <c r="A42" t="s">
        <v>47</v>
      </c>
      <c r="B42" t="s">
        <v>14</v>
      </c>
      <c r="C42" t="s">
        <v>18</v>
      </c>
      <c r="D42">
        <v>0.5033333333333333</v>
      </c>
      <c r="E42">
        <v>16.182167333333336</v>
      </c>
      <c r="F42">
        <v>31.366666666666664</v>
      </c>
      <c r="H42" t="str">
        <f t="shared" si="0"/>
        <v>0.35-0.40 SCM Crotalária</v>
      </c>
    </row>
    <row r="43" spans="1:21" x14ac:dyDescent="0.25">
      <c r="A43" t="s">
        <v>40</v>
      </c>
      <c r="B43" t="s">
        <v>9</v>
      </c>
      <c r="C43" t="s">
        <v>18</v>
      </c>
      <c r="D43">
        <v>1.38</v>
      </c>
      <c r="E43">
        <v>51.283333333333331</v>
      </c>
      <c r="F43">
        <v>89.033333333333346</v>
      </c>
      <c r="H43" t="str">
        <f t="shared" si="0"/>
        <v>0-0.5 SPD Crotalária</v>
      </c>
    </row>
    <row r="44" spans="1:21" x14ac:dyDescent="0.25">
      <c r="A44" t="s">
        <v>41</v>
      </c>
      <c r="B44" t="s">
        <v>9</v>
      </c>
      <c r="C44" t="s">
        <v>18</v>
      </c>
      <c r="D44">
        <v>0.89666666666666683</v>
      </c>
      <c r="E44">
        <v>49.483333333333327</v>
      </c>
      <c r="F44">
        <v>57.133333333333333</v>
      </c>
      <c r="H44" t="str">
        <f t="shared" si="0"/>
        <v>0.5-0.10 SPD Crotalária</v>
      </c>
    </row>
    <row r="45" spans="1:21" x14ac:dyDescent="0.25">
      <c r="A45" t="s">
        <v>42</v>
      </c>
      <c r="B45" t="s">
        <v>9</v>
      </c>
      <c r="C45" t="s">
        <v>18</v>
      </c>
      <c r="D45">
        <v>0.73000000000000009</v>
      </c>
      <c r="E45">
        <v>40.476666666666667</v>
      </c>
      <c r="F45">
        <v>38.966666666666669</v>
      </c>
      <c r="H45" t="str">
        <f t="shared" si="0"/>
        <v>0.10-0.15 SPD Crotalária</v>
      </c>
    </row>
    <row r="46" spans="1:21" x14ac:dyDescent="0.25">
      <c r="A46" t="s">
        <v>43</v>
      </c>
      <c r="B46" t="s">
        <v>9</v>
      </c>
      <c r="C46" t="s">
        <v>18</v>
      </c>
      <c r="D46">
        <v>0.66666666666666663</v>
      </c>
      <c r="E46">
        <v>39.173333333333332</v>
      </c>
      <c r="F46">
        <v>28.599999999999998</v>
      </c>
      <c r="H46" t="str">
        <f t="shared" si="0"/>
        <v>0.15-0.20 SPD Crotalária</v>
      </c>
    </row>
    <row r="47" spans="1:21" x14ac:dyDescent="0.25">
      <c r="A47" t="s">
        <v>44</v>
      </c>
      <c r="B47" t="s">
        <v>9</v>
      </c>
      <c r="C47" t="s">
        <v>18</v>
      </c>
      <c r="D47">
        <v>0.48666666666666664</v>
      </c>
      <c r="E47">
        <v>47.799049999999994</v>
      </c>
      <c r="F47">
        <v>30.166666666666668</v>
      </c>
      <c r="H47" t="str">
        <f t="shared" si="0"/>
        <v>0.20-0.25 SPD Crotalária</v>
      </c>
    </row>
    <row r="48" spans="1:21" x14ac:dyDescent="0.25">
      <c r="A48" t="s">
        <v>45</v>
      </c>
      <c r="B48" t="s">
        <v>9</v>
      </c>
      <c r="C48" t="s">
        <v>18</v>
      </c>
      <c r="D48">
        <v>0.51999999999999991</v>
      </c>
      <c r="E48">
        <v>36.719799999999999</v>
      </c>
      <c r="F48">
        <v>36.1</v>
      </c>
      <c r="H48" t="str">
        <f t="shared" si="0"/>
        <v>0.25-0.30 SPD Crotalária</v>
      </c>
    </row>
    <row r="49" spans="1:8" x14ac:dyDescent="0.25">
      <c r="A49" t="s">
        <v>46</v>
      </c>
      <c r="B49" t="s">
        <v>9</v>
      </c>
      <c r="C49" t="s">
        <v>18</v>
      </c>
      <c r="D49">
        <v>0.44333333333333336</v>
      </c>
      <c r="E49">
        <v>29.122599999999995</v>
      </c>
      <c r="F49">
        <v>38.333333333333336</v>
      </c>
      <c r="H49" t="str">
        <f t="shared" si="0"/>
        <v>0.30-0.35 SPD Crotalária</v>
      </c>
    </row>
    <row r="50" spans="1:8" x14ac:dyDescent="0.25">
      <c r="A50" t="s">
        <v>47</v>
      </c>
      <c r="B50" t="s">
        <v>9</v>
      </c>
      <c r="C50" t="s">
        <v>18</v>
      </c>
      <c r="D50">
        <v>0.48333333333333339</v>
      </c>
      <c r="E50">
        <v>41.784599999999998</v>
      </c>
      <c r="F50">
        <v>39.266666666666659</v>
      </c>
      <c r="H50" t="str">
        <f t="shared" si="0"/>
        <v>0.35-0.40 SPD Crotalária</v>
      </c>
    </row>
    <row r="51" spans="1:8" x14ac:dyDescent="0.25">
      <c r="A51" t="s">
        <v>40</v>
      </c>
      <c r="B51" t="s">
        <v>15</v>
      </c>
      <c r="C51" t="s">
        <v>48</v>
      </c>
      <c r="D51">
        <v>1.1266666666666667</v>
      </c>
      <c r="E51">
        <v>67.28</v>
      </c>
      <c r="F51">
        <v>165.6</v>
      </c>
      <c r="H51" t="str">
        <f t="shared" si="0"/>
        <v>0-0.5 SCC Guandu</v>
      </c>
    </row>
    <row r="52" spans="1:8" x14ac:dyDescent="0.25">
      <c r="A52" t="s">
        <v>41</v>
      </c>
      <c r="B52" t="s">
        <v>15</v>
      </c>
      <c r="C52" t="s">
        <v>48</v>
      </c>
      <c r="D52">
        <v>1.0999999999999999</v>
      </c>
      <c r="E52">
        <v>53.390000000000008</v>
      </c>
      <c r="F52">
        <v>49.333333333333336</v>
      </c>
      <c r="H52" t="str">
        <f t="shared" si="0"/>
        <v>0.5-0.10 SCC Guandu</v>
      </c>
    </row>
    <row r="53" spans="1:8" x14ac:dyDescent="0.25">
      <c r="A53" t="s">
        <v>42</v>
      </c>
      <c r="B53" t="s">
        <v>15</v>
      </c>
      <c r="C53" t="s">
        <v>48</v>
      </c>
      <c r="D53">
        <v>0.85333333333333339</v>
      </c>
      <c r="E53">
        <v>40.330000000000005</v>
      </c>
      <c r="F53">
        <v>34</v>
      </c>
      <c r="H53" t="str">
        <f t="shared" si="0"/>
        <v>0.10-0.15 SCC Guandu</v>
      </c>
    </row>
    <row r="54" spans="1:8" x14ac:dyDescent="0.25">
      <c r="A54" t="s">
        <v>43</v>
      </c>
      <c r="B54" t="s">
        <v>15</v>
      </c>
      <c r="C54" t="s">
        <v>48</v>
      </c>
      <c r="D54">
        <v>0.58666666666666667</v>
      </c>
      <c r="E54">
        <v>29.330000000000002</v>
      </c>
      <c r="F54">
        <v>30.966666666666665</v>
      </c>
      <c r="H54" t="str">
        <f t="shared" si="0"/>
        <v>0.15-0.20 SCC Guandu</v>
      </c>
    </row>
    <row r="55" spans="1:8" x14ac:dyDescent="0.25">
      <c r="A55" t="s">
        <v>44</v>
      </c>
      <c r="B55" t="s">
        <v>15</v>
      </c>
      <c r="C55" t="s">
        <v>48</v>
      </c>
      <c r="D55">
        <v>0.53333333333333333</v>
      </c>
      <c r="E55">
        <v>18.033472000000003</v>
      </c>
      <c r="F55">
        <v>28.599999999999998</v>
      </c>
      <c r="H55" t="str">
        <f t="shared" si="0"/>
        <v>0.20-0.25 SCC Guandu</v>
      </c>
    </row>
    <row r="56" spans="1:8" x14ac:dyDescent="0.25">
      <c r="A56" t="s">
        <v>45</v>
      </c>
      <c r="B56" t="s">
        <v>15</v>
      </c>
      <c r="C56" t="s">
        <v>48</v>
      </c>
      <c r="D56">
        <v>0.52</v>
      </c>
      <c r="E56">
        <v>9.8008000000000006</v>
      </c>
      <c r="F56">
        <v>30.366666666666664</v>
      </c>
      <c r="H56" t="str">
        <f t="shared" si="0"/>
        <v>0.25-0.30 SCC Guandu</v>
      </c>
    </row>
    <row r="57" spans="1:8" x14ac:dyDescent="0.25">
      <c r="A57" t="s">
        <v>46</v>
      </c>
      <c r="B57" t="s">
        <v>15</v>
      </c>
      <c r="C57" t="s">
        <v>48</v>
      </c>
      <c r="D57">
        <v>0.57333333333333336</v>
      </c>
      <c r="E57">
        <v>5.0719139999999996</v>
      </c>
      <c r="F57">
        <v>30</v>
      </c>
      <c r="H57" t="str">
        <f t="shared" si="0"/>
        <v>0.30-0.35 SCC Guandu</v>
      </c>
    </row>
    <row r="58" spans="1:8" x14ac:dyDescent="0.25">
      <c r="A58" t="s">
        <v>47</v>
      </c>
      <c r="B58" t="s">
        <v>15</v>
      </c>
      <c r="C58" t="s">
        <v>48</v>
      </c>
      <c r="D58">
        <v>0.48</v>
      </c>
      <c r="E58">
        <v>2.8422320000000005</v>
      </c>
      <c r="F58">
        <v>30.866666666666664</v>
      </c>
      <c r="H58" t="str">
        <f t="shared" si="0"/>
        <v>0.35-0.40 SCC Guandu</v>
      </c>
    </row>
    <row r="59" spans="1:8" x14ac:dyDescent="0.25">
      <c r="A59" t="s">
        <v>40</v>
      </c>
      <c r="B59" t="s">
        <v>14</v>
      </c>
      <c r="C59" t="s">
        <v>48</v>
      </c>
      <c r="D59">
        <v>1.5366666666666664</v>
      </c>
      <c r="E59">
        <v>55.963333333333338</v>
      </c>
      <c r="F59">
        <v>121.53333333333335</v>
      </c>
      <c r="H59" t="str">
        <f t="shared" si="0"/>
        <v>0-0.5 SCM Guandu</v>
      </c>
    </row>
    <row r="60" spans="1:8" x14ac:dyDescent="0.25">
      <c r="A60" t="s">
        <v>41</v>
      </c>
      <c r="B60" t="s">
        <v>14</v>
      </c>
      <c r="C60" t="s">
        <v>48</v>
      </c>
      <c r="D60">
        <v>1.1533333333333335</v>
      </c>
      <c r="E60">
        <v>38.516666666666666</v>
      </c>
      <c r="F60">
        <v>64.100000000000009</v>
      </c>
      <c r="H60" t="str">
        <f t="shared" si="0"/>
        <v>0.5-0.10 SCM Guandu</v>
      </c>
    </row>
    <row r="61" spans="1:8" x14ac:dyDescent="0.25">
      <c r="A61" t="s">
        <v>42</v>
      </c>
      <c r="B61" t="s">
        <v>14</v>
      </c>
      <c r="C61" t="s">
        <v>48</v>
      </c>
      <c r="D61">
        <v>0.59666666666666657</v>
      </c>
      <c r="E61">
        <v>47.146666666666668</v>
      </c>
      <c r="F61">
        <v>38.466666666666669</v>
      </c>
      <c r="H61" t="str">
        <f t="shared" si="0"/>
        <v>0.10-0.15 SCM Guandu</v>
      </c>
    </row>
    <row r="62" spans="1:8" x14ac:dyDescent="0.25">
      <c r="A62" t="s">
        <v>43</v>
      </c>
      <c r="B62" t="s">
        <v>14</v>
      </c>
      <c r="C62" t="s">
        <v>48</v>
      </c>
      <c r="D62">
        <v>0.58333333333333337</v>
      </c>
      <c r="E62">
        <v>56.160000000000004</v>
      </c>
      <c r="F62">
        <v>24.466666666666669</v>
      </c>
      <c r="H62" t="str">
        <f t="shared" si="0"/>
        <v>0.15-0.20 SCM Guandu</v>
      </c>
    </row>
    <row r="63" spans="1:8" x14ac:dyDescent="0.25">
      <c r="A63" t="s">
        <v>44</v>
      </c>
      <c r="B63" t="s">
        <v>14</v>
      </c>
      <c r="C63" t="s">
        <v>48</v>
      </c>
      <c r="D63">
        <v>0.48666666666666664</v>
      </c>
      <c r="E63">
        <v>76.288550000000001</v>
      </c>
      <c r="F63">
        <v>27.599999999999998</v>
      </c>
      <c r="H63" t="str">
        <f t="shared" si="0"/>
        <v>0.20-0.25 SCM Guandu</v>
      </c>
    </row>
    <row r="64" spans="1:8" x14ac:dyDescent="0.25">
      <c r="A64" t="s">
        <v>45</v>
      </c>
      <c r="B64" t="s">
        <v>14</v>
      </c>
      <c r="C64" t="s">
        <v>48</v>
      </c>
      <c r="D64">
        <v>0.38666666666666671</v>
      </c>
      <c r="E64">
        <v>70.590649999999997</v>
      </c>
      <c r="F64">
        <v>30.033333333333331</v>
      </c>
      <c r="H64" t="str">
        <f t="shared" si="0"/>
        <v>0.25-0.30 SCM Guandu</v>
      </c>
    </row>
    <row r="65" spans="1:8" x14ac:dyDescent="0.25">
      <c r="A65" t="s">
        <v>46</v>
      </c>
      <c r="B65" t="s">
        <v>14</v>
      </c>
      <c r="C65" t="s">
        <v>48</v>
      </c>
      <c r="D65">
        <v>0.42666666666666669</v>
      </c>
      <c r="E65">
        <v>61.727250000000005</v>
      </c>
      <c r="F65">
        <v>31.5</v>
      </c>
      <c r="H65" t="str">
        <f t="shared" si="0"/>
        <v>0.30-0.35 SCM Guandu</v>
      </c>
    </row>
    <row r="66" spans="1:8" x14ac:dyDescent="0.25">
      <c r="A66" t="s">
        <v>47</v>
      </c>
      <c r="B66" t="s">
        <v>14</v>
      </c>
      <c r="C66" t="s">
        <v>48</v>
      </c>
      <c r="D66">
        <v>0.37999999999999995</v>
      </c>
      <c r="E66">
        <v>67.425149999999988</v>
      </c>
      <c r="F66">
        <v>31.633333333333329</v>
      </c>
      <c r="H66" t="str">
        <f t="shared" si="0"/>
        <v>0.35-0.40 SCM Guandu</v>
      </c>
    </row>
    <row r="67" spans="1:8" x14ac:dyDescent="0.25">
      <c r="A67" t="s">
        <v>40</v>
      </c>
      <c r="B67" t="s">
        <v>9</v>
      </c>
      <c r="C67" t="s">
        <v>48</v>
      </c>
      <c r="D67">
        <v>1.3633333333333333</v>
      </c>
      <c r="E67">
        <v>92.75</v>
      </c>
      <c r="F67">
        <v>92.5</v>
      </c>
      <c r="H67" t="str">
        <f t="shared" si="0"/>
        <v>0-0.5 SPD Guandu</v>
      </c>
    </row>
    <row r="68" spans="1:8" x14ac:dyDescent="0.25">
      <c r="A68" t="s">
        <v>41</v>
      </c>
      <c r="B68" t="s">
        <v>9</v>
      </c>
      <c r="C68" t="s">
        <v>48</v>
      </c>
      <c r="D68">
        <v>1.0333333333333334</v>
      </c>
      <c r="E68">
        <v>77.233333333333334</v>
      </c>
      <c r="F68">
        <v>58.233333333333327</v>
      </c>
      <c r="H68" t="str">
        <f t="shared" ref="H68:H98" si="1">_xlfn.CONCAT(A68," ",B68," ",C68)</f>
        <v>0.5-0.10 SPD Guandu</v>
      </c>
    </row>
    <row r="69" spans="1:8" x14ac:dyDescent="0.25">
      <c r="A69" t="s">
        <v>42</v>
      </c>
      <c r="B69" t="s">
        <v>9</v>
      </c>
      <c r="C69" t="s">
        <v>48</v>
      </c>
      <c r="D69">
        <v>0.90333333333333332</v>
      </c>
      <c r="E69">
        <v>59.206666666666671</v>
      </c>
      <c r="F69">
        <v>42.466666666666661</v>
      </c>
      <c r="H69" t="str">
        <f t="shared" si="1"/>
        <v>0.10-0.15 SPD Guandu</v>
      </c>
    </row>
    <row r="70" spans="1:8" x14ac:dyDescent="0.25">
      <c r="A70" t="s">
        <v>43</v>
      </c>
      <c r="B70" t="s">
        <v>9</v>
      </c>
      <c r="C70" t="s">
        <v>48</v>
      </c>
      <c r="D70">
        <v>0.88666666666666671</v>
      </c>
      <c r="E70">
        <v>57.24666666666667</v>
      </c>
      <c r="F70">
        <v>31.133333333333329</v>
      </c>
      <c r="H70" t="str">
        <f t="shared" si="1"/>
        <v>0.15-0.20 SPD Guandu</v>
      </c>
    </row>
    <row r="71" spans="1:8" x14ac:dyDescent="0.25">
      <c r="A71" t="s">
        <v>44</v>
      </c>
      <c r="B71" t="s">
        <v>9</v>
      </c>
      <c r="C71" t="s">
        <v>48</v>
      </c>
      <c r="D71">
        <v>0.61333333333333329</v>
      </c>
      <c r="E71">
        <v>37.108599999999996</v>
      </c>
      <c r="F71">
        <v>24.633333333333329</v>
      </c>
      <c r="H71" t="str">
        <f t="shared" si="1"/>
        <v>0.20-0.25 SPD Guandu</v>
      </c>
    </row>
    <row r="72" spans="1:8" x14ac:dyDescent="0.25">
      <c r="A72" t="s">
        <v>45</v>
      </c>
      <c r="B72" t="s">
        <v>9</v>
      </c>
      <c r="C72" t="s">
        <v>48</v>
      </c>
      <c r="D72">
        <v>0.55999999999999994</v>
      </c>
      <c r="E72">
        <v>37.890416666666667</v>
      </c>
      <c r="F72">
        <v>23.266666666666666</v>
      </c>
      <c r="H72" t="str">
        <f t="shared" si="1"/>
        <v>0.25-0.30 SPD Guandu</v>
      </c>
    </row>
    <row r="73" spans="1:8" x14ac:dyDescent="0.25">
      <c r="A73" t="s">
        <v>46</v>
      </c>
      <c r="B73" t="s">
        <v>9</v>
      </c>
      <c r="C73" t="s">
        <v>48</v>
      </c>
      <c r="D73">
        <v>0.49000000000000005</v>
      </c>
      <c r="E73">
        <v>40.823283333333329</v>
      </c>
      <c r="F73">
        <v>26.8</v>
      </c>
      <c r="H73" t="str">
        <f t="shared" si="1"/>
        <v>0.30-0.35 SPD Guandu</v>
      </c>
    </row>
    <row r="74" spans="1:8" x14ac:dyDescent="0.25">
      <c r="A74" t="s">
        <v>47</v>
      </c>
      <c r="B74" t="s">
        <v>9</v>
      </c>
      <c r="C74" t="s">
        <v>48</v>
      </c>
      <c r="D74">
        <v>0.55666666666666664</v>
      </c>
      <c r="E74">
        <v>27.043799999999994</v>
      </c>
      <c r="F74">
        <v>26.900000000000002</v>
      </c>
      <c r="H74" t="str">
        <f t="shared" si="1"/>
        <v>0.35-0.40 SPD Guandu</v>
      </c>
    </row>
    <row r="75" spans="1:8" x14ac:dyDescent="0.25">
      <c r="A75" t="s">
        <v>40</v>
      </c>
      <c r="B75" t="s">
        <v>15</v>
      </c>
      <c r="C75" t="s">
        <v>20</v>
      </c>
      <c r="D75">
        <v>1.1266666666666667</v>
      </c>
      <c r="E75">
        <v>51.48</v>
      </c>
      <c r="F75">
        <v>101.03333333333335</v>
      </c>
      <c r="H75" t="str">
        <f t="shared" si="1"/>
        <v>0-0.5 SCC Milheto</v>
      </c>
    </row>
    <row r="76" spans="1:8" x14ac:dyDescent="0.25">
      <c r="A76" t="s">
        <v>41</v>
      </c>
      <c r="B76" t="s">
        <v>15</v>
      </c>
      <c r="C76" t="s">
        <v>20</v>
      </c>
      <c r="D76">
        <v>1.1933333333333334</v>
      </c>
      <c r="E76">
        <v>46.48</v>
      </c>
      <c r="F76">
        <v>74.933333333333323</v>
      </c>
      <c r="H76" t="str">
        <f t="shared" si="1"/>
        <v>0.5-0.10 SCC Milheto</v>
      </c>
    </row>
    <row r="77" spans="1:8" x14ac:dyDescent="0.25">
      <c r="A77" t="s">
        <v>42</v>
      </c>
      <c r="B77" t="s">
        <v>15</v>
      </c>
      <c r="C77" t="s">
        <v>20</v>
      </c>
      <c r="D77">
        <v>1.0199999999999998</v>
      </c>
      <c r="E77">
        <v>48.366666666666667</v>
      </c>
      <c r="F77">
        <v>64.966666666666654</v>
      </c>
      <c r="H77" t="str">
        <f t="shared" si="1"/>
        <v>0.10-0.15 SCC Milheto</v>
      </c>
    </row>
    <row r="78" spans="1:8" x14ac:dyDescent="0.25">
      <c r="A78" t="s">
        <v>43</v>
      </c>
      <c r="B78" t="s">
        <v>15</v>
      </c>
      <c r="C78" t="s">
        <v>20</v>
      </c>
      <c r="D78">
        <v>0.98</v>
      </c>
      <c r="E78">
        <v>38.176666666666669</v>
      </c>
      <c r="F78">
        <v>59.099999999999994</v>
      </c>
      <c r="H78" t="str">
        <f t="shared" si="1"/>
        <v>0.15-0.20 SCC Milheto</v>
      </c>
    </row>
    <row r="79" spans="1:8" x14ac:dyDescent="0.25">
      <c r="A79" t="s">
        <v>44</v>
      </c>
      <c r="B79" t="s">
        <v>15</v>
      </c>
      <c r="C79" t="s">
        <v>20</v>
      </c>
      <c r="D79">
        <v>0.65333333333333332</v>
      </c>
      <c r="E79">
        <v>18.13148</v>
      </c>
      <c r="F79">
        <v>28.533333333333335</v>
      </c>
      <c r="H79" t="str">
        <f t="shared" si="1"/>
        <v>0.20-0.25 SCC Milheto</v>
      </c>
    </row>
    <row r="80" spans="1:8" x14ac:dyDescent="0.25">
      <c r="A80" t="s">
        <v>45</v>
      </c>
      <c r="B80" t="s">
        <v>15</v>
      </c>
      <c r="C80" t="s">
        <v>20</v>
      </c>
      <c r="D80">
        <v>0.71</v>
      </c>
      <c r="E80">
        <v>21.684269999999998</v>
      </c>
      <c r="F80">
        <v>28.466666666666669</v>
      </c>
      <c r="H80" t="str">
        <f t="shared" si="1"/>
        <v>0.25-0.30 SCC Milheto</v>
      </c>
    </row>
    <row r="81" spans="1:8" x14ac:dyDescent="0.25">
      <c r="A81" t="s">
        <v>46</v>
      </c>
      <c r="B81" t="s">
        <v>15</v>
      </c>
      <c r="C81" t="s">
        <v>20</v>
      </c>
      <c r="D81">
        <v>0.6333333333333333</v>
      </c>
      <c r="E81">
        <v>15.485264000000001</v>
      </c>
      <c r="F81">
        <v>30.3</v>
      </c>
      <c r="H81" t="str">
        <f t="shared" si="1"/>
        <v>0.30-0.35 SCC Milheto</v>
      </c>
    </row>
    <row r="82" spans="1:8" x14ac:dyDescent="0.25">
      <c r="A82" t="s">
        <v>47</v>
      </c>
      <c r="B82" t="s">
        <v>15</v>
      </c>
      <c r="C82" t="s">
        <v>20</v>
      </c>
      <c r="D82">
        <v>0.60333333333333339</v>
      </c>
      <c r="E82">
        <v>5.9784879999999996</v>
      </c>
      <c r="F82">
        <v>33.833333333333336</v>
      </c>
      <c r="H82" t="str">
        <f t="shared" si="1"/>
        <v>0.35-0.40 SCC Milheto</v>
      </c>
    </row>
    <row r="83" spans="1:8" x14ac:dyDescent="0.25">
      <c r="A83" t="s">
        <v>40</v>
      </c>
      <c r="B83" t="s">
        <v>14</v>
      </c>
      <c r="C83" t="s">
        <v>20</v>
      </c>
      <c r="D83">
        <v>1.3633333333333333</v>
      </c>
      <c r="E83">
        <v>68.656666666666666</v>
      </c>
      <c r="F83">
        <v>125.83333333333333</v>
      </c>
      <c r="H83" t="str">
        <f t="shared" si="1"/>
        <v>0-0.5 SCM Milheto</v>
      </c>
    </row>
    <row r="84" spans="1:8" x14ac:dyDescent="0.25">
      <c r="A84" t="s">
        <v>41</v>
      </c>
      <c r="B84" t="s">
        <v>14</v>
      </c>
      <c r="C84" t="s">
        <v>20</v>
      </c>
      <c r="D84">
        <v>0.97000000000000008</v>
      </c>
      <c r="E84">
        <v>51.379999999999995</v>
      </c>
      <c r="F84">
        <v>61.966666666666661</v>
      </c>
      <c r="H84" t="str">
        <f t="shared" si="1"/>
        <v>0.5-0.10 SCM Milheto</v>
      </c>
    </row>
    <row r="85" spans="1:8" x14ac:dyDescent="0.25">
      <c r="A85" t="s">
        <v>42</v>
      </c>
      <c r="B85" t="s">
        <v>14</v>
      </c>
      <c r="C85" t="s">
        <v>20</v>
      </c>
      <c r="D85">
        <v>0.50333333333333341</v>
      </c>
      <c r="E85">
        <v>34.99</v>
      </c>
      <c r="F85">
        <v>42.699999999999996</v>
      </c>
      <c r="H85" t="str">
        <f t="shared" si="1"/>
        <v>0.10-0.15 SCM Milheto</v>
      </c>
    </row>
    <row r="86" spans="1:8" x14ac:dyDescent="0.25">
      <c r="A86" t="s">
        <v>43</v>
      </c>
      <c r="B86" t="s">
        <v>14</v>
      </c>
      <c r="C86" t="s">
        <v>20</v>
      </c>
      <c r="D86">
        <v>0.47000000000000003</v>
      </c>
      <c r="E86">
        <v>30.776666666666667</v>
      </c>
      <c r="F86">
        <v>34.06666666666667</v>
      </c>
      <c r="H86" t="str">
        <f t="shared" si="1"/>
        <v>0.15-0.20 SCM Milheto</v>
      </c>
    </row>
    <row r="87" spans="1:8" x14ac:dyDescent="0.25">
      <c r="A87" t="s">
        <v>44</v>
      </c>
      <c r="B87" t="s">
        <v>14</v>
      </c>
      <c r="C87" t="s">
        <v>20</v>
      </c>
      <c r="D87">
        <v>0.44333333333333336</v>
      </c>
      <c r="E87">
        <v>29.573914000000002</v>
      </c>
      <c r="F87">
        <v>32.133333333333333</v>
      </c>
      <c r="H87" t="str">
        <f t="shared" si="1"/>
        <v>0.20-0.25 SCM Milheto</v>
      </c>
    </row>
    <row r="88" spans="1:8" x14ac:dyDescent="0.25">
      <c r="A88" t="s">
        <v>45</v>
      </c>
      <c r="B88" t="s">
        <v>14</v>
      </c>
      <c r="C88" t="s">
        <v>20</v>
      </c>
      <c r="D88">
        <v>0.3666666666666667</v>
      </c>
      <c r="E88">
        <v>45.353202000000003</v>
      </c>
      <c r="F88">
        <v>33.766666666666666</v>
      </c>
      <c r="H88" t="str">
        <f t="shared" si="1"/>
        <v>0.25-0.30 SCM Milheto</v>
      </c>
    </row>
    <row r="89" spans="1:8" x14ac:dyDescent="0.25">
      <c r="A89" t="s">
        <v>46</v>
      </c>
      <c r="B89" t="s">
        <v>14</v>
      </c>
      <c r="C89" t="s">
        <v>20</v>
      </c>
      <c r="D89">
        <v>0.40666666666666668</v>
      </c>
      <c r="E89">
        <v>32.857182000000002</v>
      </c>
      <c r="F89">
        <v>34.833333333333336</v>
      </c>
      <c r="H89" t="str">
        <f t="shared" si="1"/>
        <v>0.30-0.35 SCM Milheto</v>
      </c>
    </row>
    <row r="90" spans="1:8" x14ac:dyDescent="0.25">
      <c r="A90" t="s">
        <v>47</v>
      </c>
      <c r="B90" t="s">
        <v>14</v>
      </c>
      <c r="C90" t="s">
        <v>20</v>
      </c>
      <c r="D90">
        <v>0.37999999999999995</v>
      </c>
      <c r="E90">
        <v>25.751602000000002</v>
      </c>
      <c r="F90">
        <v>36.599999999999994</v>
      </c>
      <c r="H90" t="str">
        <f t="shared" si="1"/>
        <v>0.35-0.40 SCM Milheto</v>
      </c>
    </row>
    <row r="91" spans="1:8" x14ac:dyDescent="0.25">
      <c r="A91" t="s">
        <v>40</v>
      </c>
      <c r="B91" t="s">
        <v>9</v>
      </c>
      <c r="C91" t="s">
        <v>20</v>
      </c>
      <c r="D91">
        <v>1.0233333333333334</v>
      </c>
      <c r="E91">
        <v>69.959999999999994</v>
      </c>
      <c r="F91">
        <v>85.2</v>
      </c>
      <c r="H91" t="str">
        <f t="shared" si="1"/>
        <v>0-0.5 SPD Milheto</v>
      </c>
    </row>
    <row r="92" spans="1:8" x14ac:dyDescent="0.25">
      <c r="A92" t="s">
        <v>41</v>
      </c>
      <c r="B92" t="s">
        <v>9</v>
      </c>
      <c r="C92" t="s">
        <v>20</v>
      </c>
      <c r="D92">
        <v>0.73666666666666669</v>
      </c>
      <c r="E92">
        <v>74.073333333333338</v>
      </c>
      <c r="F92">
        <v>43.633333333333333</v>
      </c>
      <c r="H92" t="str">
        <f t="shared" si="1"/>
        <v>0.5-0.10 SPD Milheto</v>
      </c>
    </row>
    <row r="93" spans="1:8" x14ac:dyDescent="0.25">
      <c r="A93" t="s">
        <v>42</v>
      </c>
      <c r="B93" t="s">
        <v>9</v>
      </c>
      <c r="C93" t="s">
        <v>20</v>
      </c>
      <c r="D93">
        <v>0.59</v>
      </c>
      <c r="E93">
        <v>81.353333333333339</v>
      </c>
      <c r="F93">
        <v>34.866666666666667</v>
      </c>
      <c r="H93" t="str">
        <f t="shared" si="1"/>
        <v>0.10-0.15 SPD Milheto</v>
      </c>
    </row>
    <row r="94" spans="1:8" x14ac:dyDescent="0.25">
      <c r="A94" t="s">
        <v>43</v>
      </c>
      <c r="B94" t="s">
        <v>9</v>
      </c>
      <c r="C94" t="s">
        <v>20</v>
      </c>
      <c r="D94">
        <v>0.51333333333333331</v>
      </c>
      <c r="E94">
        <v>78.86666666666666</v>
      </c>
      <c r="F94">
        <v>31.333333333333332</v>
      </c>
      <c r="H94" t="str">
        <f t="shared" si="1"/>
        <v>0.15-0.20 SPD Milheto</v>
      </c>
    </row>
    <row r="95" spans="1:8" x14ac:dyDescent="0.25">
      <c r="A95" t="s">
        <v>44</v>
      </c>
      <c r="B95" t="s">
        <v>9</v>
      </c>
      <c r="C95" t="s">
        <v>20</v>
      </c>
      <c r="D95">
        <v>0.49333333333333335</v>
      </c>
      <c r="E95">
        <v>77.871299999999991</v>
      </c>
      <c r="F95">
        <v>29.233333333333334</v>
      </c>
      <c r="H95" t="str">
        <f t="shared" si="1"/>
        <v>0.20-0.25 SPD Milheto</v>
      </c>
    </row>
    <row r="96" spans="1:8" x14ac:dyDescent="0.25">
      <c r="A96" t="s">
        <v>45</v>
      </c>
      <c r="B96" t="s">
        <v>9</v>
      </c>
      <c r="C96" t="s">
        <v>20</v>
      </c>
      <c r="D96">
        <v>0.49333333333333335</v>
      </c>
      <c r="E96">
        <v>71.540299999999988</v>
      </c>
      <c r="F96">
        <v>27.633333333333329</v>
      </c>
      <c r="H96" t="str">
        <f t="shared" si="1"/>
        <v>0.25-0.30 SPD Milheto</v>
      </c>
    </row>
    <row r="97" spans="1:8" x14ac:dyDescent="0.25">
      <c r="A97" t="s">
        <v>46</v>
      </c>
      <c r="B97" t="s">
        <v>9</v>
      </c>
      <c r="C97" t="s">
        <v>20</v>
      </c>
      <c r="D97">
        <v>0.35000000000000003</v>
      </c>
      <c r="E97">
        <v>75.655449999999988</v>
      </c>
      <c r="F97">
        <v>33.133333333333333</v>
      </c>
      <c r="H97" t="str">
        <f t="shared" si="1"/>
        <v>0.30-0.35 SPD Milheto</v>
      </c>
    </row>
    <row r="98" spans="1:8" x14ac:dyDescent="0.25">
      <c r="A98" t="s">
        <v>47</v>
      </c>
      <c r="B98" t="s">
        <v>9</v>
      </c>
      <c r="C98" t="s">
        <v>20</v>
      </c>
      <c r="D98">
        <v>0.38666666666666666</v>
      </c>
      <c r="E98">
        <v>60.144500000000001</v>
      </c>
      <c r="F98">
        <v>35.866666666666667</v>
      </c>
      <c r="H98" t="str">
        <f t="shared" si="1"/>
        <v>0.35-0.40 SPD Milheto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FÓSFORO</vt:lpstr>
      <vt:lpstr>POTÁSSIO</vt:lpstr>
      <vt:lpstr>Na</vt:lpstr>
      <vt:lpstr>pH</vt:lpstr>
      <vt:lpstr>MO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Jaelson</dc:creator>
  <cp:lastModifiedBy>Diego Vidal Santos</cp:lastModifiedBy>
  <dcterms:created xsi:type="dcterms:W3CDTF">2024-05-04T01:32:50Z</dcterms:created>
  <dcterms:modified xsi:type="dcterms:W3CDTF">2025-01-21T12:48:45Z</dcterms:modified>
</cp:coreProperties>
</file>